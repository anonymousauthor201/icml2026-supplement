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ur48t_umsystem_edu/Documents/RA docs/Fall24_ResearchWork/Projects/AI_Chemistry/RL_Try2_ChangedTestData_March19_June29/"/>
    </mc:Choice>
  </mc:AlternateContent>
  <xr:revisionPtr revIDLastSave="92" documentId="13_ncr:1_{2E19AA37-FE94-4649-BBCE-847F502EA318}" xr6:coauthVersionLast="47" xr6:coauthVersionMax="47" xr10:uidLastSave="{20E510CA-8221-0A4F-9E2A-04B3E43942DE}"/>
  <bookViews>
    <workbookView xWindow="0" yWindow="500" windowWidth="28800" windowHeight="16280" xr2:uid="{00000000-000D-0000-FFFF-FFFF00000000}"/>
  </bookViews>
  <sheets>
    <sheet name="Sheet1" sheetId="1" r:id="rId1"/>
    <sheet name="Sheet3" sheetId="4" r:id="rId2"/>
    <sheet name="Original_172_plus_18LY" sheetId="3" r:id="rId3"/>
    <sheet name="Original_196" sheetId="2" r:id="rId4"/>
  </sheets>
  <definedNames>
    <definedName name="_xlnm._FilterDatabase" localSheetId="0" hidden="1">Sheet1!$R$1:$R$230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7" i="4" l="1"/>
  <c r="Q76" i="4"/>
  <c r="Q71" i="4"/>
  <c r="Q70" i="4"/>
  <c r="Q69" i="4"/>
  <c r="Q67" i="4"/>
  <c r="Q66" i="4"/>
  <c r="Q65" i="4"/>
  <c r="Q64" i="4"/>
  <c r="Q77" i="3"/>
  <c r="Q76" i="3"/>
  <c r="Q71" i="3"/>
  <c r="Q70" i="3"/>
  <c r="Q69" i="3"/>
  <c r="Q67" i="3"/>
  <c r="Q66" i="3"/>
  <c r="Q65" i="3"/>
  <c r="Q64" i="3"/>
  <c r="Q77" i="2"/>
  <c r="Q76" i="2"/>
  <c r="Q71" i="2"/>
  <c r="Q70" i="2"/>
  <c r="Q69" i="2"/>
  <c r="Q67" i="2"/>
  <c r="Q66" i="2"/>
  <c r="Q65" i="2"/>
  <c r="Q64" i="2"/>
  <c r="Q71" i="1"/>
  <c r="Q70" i="1"/>
  <c r="Q69" i="1"/>
  <c r="Q67" i="1"/>
  <c r="Q66" i="1"/>
  <c r="Q65" i="1"/>
  <c r="Q77" i="1"/>
  <c r="Q76" i="1"/>
  <c r="Q64" i="1"/>
</calcChain>
</file>

<file path=xl/sharedStrings.xml><?xml version="1.0" encoding="utf-8"?>
<sst xmlns="http://schemas.openxmlformats.org/spreadsheetml/2006/main" count="8723" uniqueCount="594">
  <si>
    <t>Acid (name)</t>
  </si>
  <si>
    <t>Acid (equiv.)</t>
  </si>
  <si>
    <t>Amine (name)</t>
  </si>
  <si>
    <t>Amine (equiv.)</t>
  </si>
  <si>
    <t>Activator (name)</t>
  </si>
  <si>
    <t>Activator (equiv.)</t>
  </si>
  <si>
    <t>Base (name)</t>
  </si>
  <si>
    <t>Base (equiv.)</t>
  </si>
  <si>
    <t>Solvent</t>
  </si>
  <si>
    <t>Global Conc (M)</t>
  </si>
  <si>
    <t>Temp (C)</t>
  </si>
  <si>
    <t>Time (h)</t>
  </si>
  <si>
    <t>References</t>
  </si>
  <si>
    <t>N-Boc-L-leucine</t>
  </si>
  <si>
    <t>Piperidine</t>
  </si>
  <si>
    <t xml:space="preserve">EDCI </t>
  </si>
  <si>
    <t>DCM</t>
  </si>
  <si>
    <t>https://doi.org/10.1039/C2CC31735D</t>
  </si>
  <si>
    <t xml:space="preserve">DCC </t>
  </si>
  <si>
    <t>https://doi.org/10.1021/acsomega.0c06053</t>
  </si>
  <si>
    <t xml:space="preserve">HBTU </t>
  </si>
  <si>
    <t xml:space="preserve">DIPEA </t>
  </si>
  <si>
    <t>DMF</t>
  </si>
  <si>
    <t>10.1021/jo0349375</t>
  </si>
  <si>
    <t>DIPEA</t>
  </si>
  <si>
    <t>https://doi.org/10.1002/ejoc.202100355</t>
  </si>
  <si>
    <t>https://doi.org/10.1002/chem.201002202</t>
  </si>
  <si>
    <t>Pyrrolidine</t>
  </si>
  <si>
    <t xml:space="preserve">CDI </t>
  </si>
  <si>
    <t>WO 2015/032621 Al</t>
  </si>
  <si>
    <t xml:space="preserve">HATU </t>
  </si>
  <si>
    <t>WO 2010/144486 A l</t>
  </si>
  <si>
    <t>https://doi.org/10.1002/1521-3765(20010302)7:5&lt;1014::AID-CHEM1014&gt;3.0.CO;2-X</t>
  </si>
  <si>
    <t>https://doi.org/10.1111/cbdd.13039</t>
  </si>
  <si>
    <t xml:space="preserve">PyBOP </t>
  </si>
  <si>
    <t>WO 2008/060569 Al</t>
  </si>
  <si>
    <t>N-Boc-D-alanine</t>
  </si>
  <si>
    <t>https://doi.org/10.1021/jm301646k</t>
  </si>
  <si>
    <t>BBDI</t>
  </si>
  <si>
    <t>https://doi.org/10.1016/j.tet.2008.09.094</t>
  </si>
  <si>
    <t>THF</t>
  </si>
  <si>
    <t>WO 03/004468 Al</t>
  </si>
  <si>
    <t>https://doi.org/10.1111/cbdd.13315</t>
  </si>
  <si>
    <t>https://doi.org/10.1021/acsomega.7b00523</t>
  </si>
  <si>
    <t>N-Boc-L-valine</t>
  </si>
  <si>
    <t>https://doi.org/10.1039/C1CY00108F</t>
  </si>
  <si>
    <t>https://doi.org/10.1039/C0CC01301C</t>
  </si>
  <si>
    <t>HBTU</t>
  </si>
  <si>
    <t>ACN</t>
  </si>
  <si>
    <t>https://doi.org/10.1021/acs.jmedchem.8b00673</t>
  </si>
  <si>
    <t>WO 2021/252667 Al</t>
  </si>
  <si>
    <t>NMM</t>
  </si>
  <si>
    <t>WO2004098590</t>
  </si>
  <si>
    <t>Isobutylchloroformate</t>
  </si>
  <si>
    <t>https://doi.org/10.1021/ol062227q</t>
  </si>
  <si>
    <t>4-hydroxypiperidine</t>
  </si>
  <si>
    <t>WO2009119537</t>
  </si>
  <si>
    <t>Boc-L-tert-leucine</t>
  </si>
  <si>
    <t>L-Proline methyl ester hydrochloride</t>
  </si>
  <si>
    <t>EDC.HCl</t>
  </si>
  <si>
    <t>WO2008128121</t>
  </si>
  <si>
    <r>
      <rPr>
        <i/>
        <sz val="12"/>
        <rFont val="Arial"/>
        <family val="2"/>
      </rPr>
      <t>ACS Catal.</t>
    </r>
    <r>
      <rPr>
        <sz val="12"/>
        <rFont val="Arial"/>
        <family val="2"/>
      </rPr>
      <t> 2019, 9, 4, 3298–3303</t>
    </r>
  </si>
  <si>
    <t>European Journal of Medicinal Chemistry (2021), 224, 113692</t>
  </si>
  <si>
    <t xml:space="preserve">DMF/ACN </t>
  </si>
  <si>
    <t>US20050037977</t>
  </si>
  <si>
    <t xml:space="preserve"> (S)-tert-Butyl (1-(4-bromophenyl)ethyl)carbamate</t>
  </si>
  <si>
    <t>WO2022266206 A1 2022-12-22</t>
  </si>
  <si>
    <t>(1R,2S,5S)-6,6-dimethyl-3-azabicyclo[3.1.0]hexane-2-carboxylate</t>
  </si>
  <si>
    <t>BOP</t>
  </si>
  <si>
    <t xml:space="preserve">NMM </t>
  </si>
  <si>
    <t>DCM/DMF (1:1)</t>
  </si>
  <si>
    <t>Journal of Medicinal Chemistry (2006), 49(20), 6074-6086</t>
  </si>
  <si>
    <t>Benzyl L-prolinate</t>
  </si>
  <si>
    <t>Journal of Medicinal Chemistry (2010), 53(5), 2126-2135</t>
  </si>
  <si>
    <t>Journal of Medicinal Chemistry (2004), 47(18), 4417-4426</t>
  </si>
  <si>
    <t> NMP</t>
  </si>
  <si>
    <t>Organic Process Research &amp; Development (2015), 19(1), 270-283</t>
  </si>
  <si>
    <t>HATU</t>
  </si>
  <si>
    <t>Proceedings of the National Academy of Sciences of the United States of America (2016), 113(26), 7124-7129</t>
  </si>
  <si>
    <t>World Intellectual Property Organization, WO2012037259 A1 2012-03-22</t>
  </si>
  <si>
    <t>WO2012037259</t>
  </si>
  <si>
    <t>NMP:DCM (1:10)</t>
  </si>
  <si>
    <t>US20080108632</t>
  </si>
  <si>
    <t>WO2009076173</t>
  </si>
  <si>
    <t>World Intellectual Property Organization, WO2009094443 A1 2009-07-30</t>
  </si>
  <si>
    <t>United States, US20080187516 A1 2008-08-07</t>
  </si>
  <si>
    <t>WO2008064066 </t>
  </si>
  <si>
    <t>WO2009094443</t>
  </si>
  <si>
    <t>(4R)-4-Hydroxy-L-proline methyl ester</t>
  </si>
  <si>
    <t>WO2008008776</t>
  </si>
  <si>
    <r>
      <rPr>
        <sz val="12"/>
        <color rgb="FF262626"/>
        <rFont val="Arial"/>
        <family val="2"/>
      </rPr>
      <t>(4</t>
    </r>
    <r>
      <rPr>
        <i/>
        <sz val="12"/>
        <color rgb="FF262626"/>
        <rFont val="Arial"/>
        <family val="2"/>
      </rPr>
      <t>R</t>
    </r>
    <r>
      <rPr>
        <sz val="12"/>
        <color rgb="FF262626"/>
        <rFont val="Arial"/>
        <family val="2"/>
      </rPr>
      <t>)-4-Hydroxy-L-proline methyl ester</t>
    </r>
  </si>
  <si>
    <t xml:space="preserve">DCM </t>
  </si>
  <si>
    <t>WO2012169785</t>
  </si>
  <si>
    <t>WO2003099274 </t>
  </si>
  <si>
    <t>WO2023220425</t>
  </si>
  <si>
    <t>L-Proline, phenylmethyl ester, hydrochloride</t>
  </si>
  <si>
    <t> WO2012030160</t>
  </si>
  <si>
    <t>pyrrolidine</t>
  </si>
  <si>
    <t>EDC</t>
  </si>
  <si>
    <t>US20110230462 A1 2011-09-22</t>
  </si>
  <si>
    <t>Chemical Science (2016), 7(9), 6060-6067</t>
  </si>
  <si>
    <t>Journal of the American Chemical Society (2020), 142(8), 4061-4069</t>
  </si>
  <si>
    <t>TBTU</t>
  </si>
  <si>
    <t>World Intellectual Property Organization, WO2012074469 A1 2012-06-07</t>
  </si>
  <si>
    <t>Tetrahedron (2008), 64(49), 11129-11135</t>
  </si>
  <si>
    <t>DCC</t>
  </si>
  <si>
    <t>Journal of Medicinal Chemistry (2003), 46(21), 4543-4551</t>
  </si>
  <si>
    <t>2006, (20121004), No pp</t>
  </si>
  <si>
    <t>United States, US20110281865 A1 2011-11-17</t>
  </si>
  <si>
    <t>Prop-2-ene-1-sulfinyl chloride</t>
  </si>
  <si>
    <t>Chloroform</t>
  </si>
  <si>
    <t>Organic Letters (2014), 16(2), 604-607</t>
  </si>
  <si>
    <t>PyBOP</t>
  </si>
  <si>
    <t>Journal of Medicinal Chemistry (2013), 56(1), 345-356</t>
  </si>
  <si>
    <t>Tetrahedron (2021), 84, 132017</t>
  </si>
  <si>
    <t>WO2016179554 A1 2016-11-10</t>
  </si>
  <si>
    <t>WO2001068603 A2 2001-09-20</t>
  </si>
  <si>
    <t>Bioorganic &amp; Medicinal Chemistry Letters (2020), 30(5), 126929</t>
  </si>
  <si>
    <t>United States, US20070032433 A1 2007-02-08</t>
  </si>
  <si>
    <t>Benzoic acid</t>
  </si>
  <si>
    <t>Benzylamine</t>
  </si>
  <si>
    <t>Nil</t>
  </si>
  <si>
    <t>31-367-CAS-11582629</t>
  </si>
  <si>
    <t>3,5-Bis(trifluoromethyl)phenylboronic acid</t>
  </si>
  <si>
    <t xml:space="preserve"> Toluene</t>
  </si>
  <si>
    <t>31-367-CAS-16797582</t>
  </si>
  <si>
    <t xml:space="preserve">Toluene </t>
  </si>
  <si>
    <t>31-367-CAS-16797597</t>
  </si>
  <si>
    <t>Niobium pentachloride</t>
  </si>
  <si>
    <t>31-367-CAS-22832020</t>
  </si>
  <si>
    <t>31-367-CAS-7515306</t>
  </si>
  <si>
    <t>Oxalyl chloride</t>
  </si>
  <si>
    <t>31-367-CAS-16413033</t>
  </si>
  <si>
    <t>31-367-CAS-22836381</t>
  </si>
  <si>
    <t>31-367-CAS-22830174</t>
  </si>
  <si>
    <t>(3-Aminopropyl)triethoxysilane</t>
  </si>
  <si>
    <t xml:space="preserve"> o-Xylene</t>
  </si>
  <si>
    <t>31-367-CAS-14069370</t>
  </si>
  <si>
    <t>Imidazole</t>
  </si>
  <si>
    <t>1,2-Dichlorobenzene</t>
  </si>
  <si>
    <t>31-367-CAS-2854181</t>
  </si>
  <si>
    <t>2-Trifluoromethylphenylboronic acid</t>
  </si>
  <si>
    <t>DMAP-N-Oxide</t>
  </si>
  <si>
    <t>31-367-CAS-17705685</t>
  </si>
  <si>
    <t>31-367-CAS-23680136</t>
  </si>
  <si>
    <t>1-Phenylethylamine</t>
  </si>
  <si>
    <t>31-367-CAS-22832271</t>
  </si>
  <si>
    <t>31-367-CAS-22831322</t>
  </si>
  <si>
    <t>31-367-CAS-19124389</t>
  </si>
  <si>
    <t>DMAP</t>
  </si>
  <si>
    <t>31-367-CAS-13127347</t>
  </si>
  <si>
    <t>31-367-CAS-12897621</t>
  </si>
  <si>
    <t>Iron(III) acetylacetonate</t>
  </si>
  <si>
    <t>Xylene</t>
  </si>
  <si>
    <t>31-367-CAS-8423256</t>
  </si>
  <si>
    <t>triethylamine</t>
  </si>
  <si>
    <t>31-367-CAS-11972482</t>
  </si>
  <si>
    <t>31-367-CAS-11876300</t>
  </si>
  <si>
    <t>Titanium isopropoxide</t>
  </si>
  <si>
    <t>31-367-CAS-6962730</t>
  </si>
  <si>
    <t>31-367-CAS-6072369</t>
  </si>
  <si>
    <t>31-367-CAS-10325545</t>
  </si>
  <si>
    <t>Pyridine</t>
  </si>
  <si>
    <t>H2O</t>
  </si>
  <si>
    <r>
      <t>Org. Lett.</t>
    </r>
    <r>
      <rPr>
        <sz val="12"/>
        <color rgb="FF151515"/>
        <rFont val="Arial"/>
        <family val="2"/>
      </rPr>
      <t> 2020, 22, 15, 5737–5740</t>
    </r>
  </si>
  <si>
    <t>Phenyl acetic acid</t>
  </si>
  <si>
    <t>4-methoxyaniline</t>
  </si>
  <si>
    <t>10.1016/j.ejmech.2015.08.025</t>
  </si>
  <si>
    <t>ionic liquid</t>
  </si>
  <si>
    <t>Org. Biomol. Chem., 2024, 22, 1400–1408</t>
  </si>
  <si>
    <t>4-Methoxybenzoic acid</t>
  </si>
  <si>
    <t>Aniline</t>
  </si>
  <si>
    <t>Chem. Sci., 2016, 7, 2229–2238</t>
  </si>
  <si>
    <t>10.14233/ajchem.2014.15551</t>
  </si>
  <si>
    <t>Water</t>
  </si>
  <si>
    <t>31-367-CAS-219670</t>
  </si>
  <si>
    <t>31-614-CAS-24422975</t>
  </si>
  <si>
    <t>p-Phenyl benzoic acid</t>
  </si>
  <si>
    <t>4-tbutylaniline</t>
  </si>
  <si>
    <t>10.1016/j.bmcl.2004.11.033</t>
  </si>
  <si>
    <t>3-Hydroxy[1,1′-biphenyl]-2-carboxylic acid</t>
  </si>
  <si>
    <t>Nature Communications (2024), 15(1), 3968</t>
  </si>
  <si>
    <t>Cyclohexylamine</t>
  </si>
  <si>
    <t>ammoniaborane</t>
  </si>
  <si>
    <t> 31-367-CAS-23445113</t>
  </si>
  <si>
    <t>Boric acid</t>
  </si>
  <si>
    <t>Toluene</t>
  </si>
  <si>
    <t>Benzenamine hydrochloride (1:1)</t>
  </si>
  <si>
    <t> 31-614-CAS-35313320</t>
  </si>
  <si>
    <t> 31-614-CAS-40645958</t>
  </si>
  <si>
    <t>1-Biphenyl-2-carboxylic acid</t>
  </si>
  <si>
    <t>31-614-CAS-40645954</t>
  </si>
  <si>
    <t>2-(4,4,5,5-Tetramethyl-1,3,2-dioxaborolan-2-yl)benzoic acid</t>
  </si>
  <si>
    <t>31-614-CAS-40645960</t>
  </si>
  <si>
    <t>4-Phenoxybenzoic acid</t>
  </si>
  <si>
    <t>Benzocaine</t>
  </si>
  <si>
    <t>Triethylamine</t>
  </si>
  <si>
    <t>31-367-CAS-12378092</t>
  </si>
  <si>
    <t>2-Bromobenzoic acid</t>
  </si>
  <si>
    <t>31-614-CAS-40645934</t>
  </si>
  <si>
    <t> 31-614-CAS-40645954</t>
  </si>
  <si>
    <t>benzoic acid</t>
  </si>
  <si>
    <t>cyclohexylamine hydrochloride</t>
  </si>
  <si>
    <t>Cyclohexanecarboxylic acid</t>
  </si>
  <si>
    <t>3-Pentanamine</t>
  </si>
  <si>
    <t xml:space="preserve">
Tetrahydrofuran</t>
  </si>
  <si>
    <t>ChemMedChem (2011), 6(4), 725-736</t>
  </si>
  <si>
    <t>Sodium benzoate</t>
  </si>
  <si>
    <t>Ethylamine hydrochloride</t>
  </si>
  <si>
    <t>: 10.1039/d1ob02064a</t>
  </si>
  <si>
    <t>Benzylammonium chloride</t>
  </si>
  <si>
    <t>Chemical Communications (Cambridge, United Kingdom) (2012), 48(96), 11781-11783</t>
  </si>
  <si>
    <t>4-Methylaniline</t>
  </si>
  <si>
    <t>Chemical Science (2016), 7(3), 2229-2238</t>
  </si>
  <si>
    <t>Hexanoic acid</t>
  </si>
  <si>
    <t>bronsted acidic ionic liquid </t>
  </si>
  <si>
    <t>ACS Sustainable Chemistry &amp; Engineering (2020), 8(11), 4353-4361</t>
  </si>
  <si>
    <t>Reaction_Yield</t>
  </si>
  <si>
    <t>Copper(II) acetate</t>
  </si>
  <si>
    <t>DOI: 10.1055/a-2145-5986</t>
  </si>
  <si>
    <t>4-cyanobenzoic acid</t>
  </si>
  <si>
    <t>piperidine</t>
  </si>
  <si>
    <t>2-nitrobenzoic acid</t>
  </si>
  <si>
    <t>3-bromobenzoic acid</t>
  </si>
  <si>
    <t>tert-butylamine</t>
  </si>
  <si>
    <t>Benzimidazole</t>
  </si>
  <si>
    <t>DOI: 10.3762/bjoc.11.233</t>
  </si>
  <si>
    <t>4-vinylbenzoic acid</t>
  </si>
  <si>
    <t>thiophene-3-carboxylic acid</t>
  </si>
  <si>
    <t>furan-3-carboxylic acid</t>
  </si>
  <si>
    <t>3,4-dichlorobenzoic acid</t>
  </si>
  <si>
    <t>nicotinic acid</t>
  </si>
  <si>
    <t>4-methyl pyridine-borane</t>
  </si>
  <si>
    <t>m-xylene</t>
  </si>
  <si>
    <t>https://doi.org/10.1002/slct.202400325</t>
  </si>
  <si>
    <t>4-trifluoromethyl benzoic acid</t>
  </si>
  <si>
    <t>4-methoxy benoic acid</t>
  </si>
  <si>
    <t>isopropanoic acid</t>
  </si>
  <si>
    <t>4-iodo benzoic acid</t>
  </si>
  <si>
    <t>methyl phenylalaninate</t>
  </si>
  <si>
    <t>PS-750-M</t>
  </si>
  <si>
    <t>https://pubs.acs.org/doi/10.1021/acs.orglett.0c01676.</t>
  </si>
  <si>
    <t>isoquinoline-1-carboxylic acid</t>
  </si>
  <si>
    <t>benzyl phenylalaninate</t>
  </si>
  <si>
    <r>
      <t>N</t>
    </r>
    <r>
      <rPr>
        <vertAlign val="superscript"/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>-(((9</t>
    </r>
    <r>
      <rPr>
        <i/>
        <sz val="12"/>
        <color rgb="FF000000"/>
        <rFont val="Arial"/>
        <family val="2"/>
      </rPr>
      <t>H</t>
    </r>
    <r>
      <rPr>
        <sz val="12"/>
        <color rgb="FF000000"/>
        <rFont val="Arial"/>
        <family val="2"/>
      </rPr>
      <t>-fluoren-9-yl)methoxy)carbonyl)-</t>
    </r>
    <r>
      <rPr>
        <i/>
        <sz val="12"/>
        <color rgb="FF000000"/>
        <rFont val="Arial"/>
        <family val="2"/>
      </rPr>
      <t>N</t>
    </r>
    <r>
      <rPr>
        <vertAlign val="superscript"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-(</t>
    </r>
    <r>
      <rPr>
        <i/>
        <sz val="12"/>
        <color rgb="FF000000"/>
        <rFont val="Arial"/>
        <family val="2"/>
      </rPr>
      <t>tert</t>
    </r>
    <r>
      <rPr>
        <sz val="12"/>
        <color rgb="FF000000"/>
        <rFont val="Arial"/>
        <family val="2"/>
      </rPr>
      <t>-butoxycarbonyl)lysine</t>
    </r>
  </si>
  <si>
    <r>
      <t>tert</t>
    </r>
    <r>
      <rPr>
        <sz val="12"/>
        <color rgb="FF000000"/>
        <rFont val="Arial"/>
        <family val="2"/>
      </rPr>
      <t>-butyl 2-aminobutanoate</t>
    </r>
  </si>
  <si>
    <t>((benzyloxy)carbonyl)valine</t>
  </si>
  <si>
    <t>aniline</t>
  </si>
  <si>
    <r>
      <t>tert</t>
    </r>
    <r>
      <rPr>
        <sz val="12"/>
        <color rgb="FF000000"/>
        <rFont val="Arial"/>
        <family val="2"/>
      </rPr>
      <t>-butyl alaninate</t>
    </r>
  </si>
  <si>
    <t>tosylalanine</t>
  </si>
  <si>
    <t>2-(1H-indol-3-yl)-2-oxoacetic acid</t>
  </si>
  <si>
    <t>4-chloroaniline</t>
  </si>
  <si>
    <t xml:space="preserve">ortho(trifluoromethyl)benzene--dioxygen--phosphorus(II) oxide </t>
  </si>
  <si>
    <t>https://doi.org/10.1039/D3QO01705B</t>
  </si>
  <si>
    <t>(tert-butoxycarbonyl)proline</t>
  </si>
  <si>
    <t>p-toluidine</t>
  </si>
  <si>
    <t>2-(thiophen-3-yl)acetic acid</t>
  </si>
  <si>
    <t>1-Adamantylamine</t>
  </si>
  <si>
    <t>4,4-difluorocyclohexane-1-carboxylic acid</t>
  </si>
  <si>
    <t>2-(4-chlorophenyl)acetic acid</t>
  </si>
  <si>
    <t>thiazol-2-amine</t>
  </si>
  <si>
    <t>https://doi.org/10.1080/00397911.2023.2259518</t>
  </si>
  <si>
    <t>Benzene propanoic acid</t>
  </si>
  <si>
    <t>2-methyl-3nitro-phenyl acetice acid</t>
  </si>
  <si>
    <t>Methyl benzylamine</t>
  </si>
  <si>
    <t>2-bromophenyl acetic acid</t>
  </si>
  <si>
    <t>4-nitrobenzoic acid</t>
  </si>
  <si>
    <t>4-bromo aniline</t>
  </si>
  <si>
    <t>Mukaiyama reagent</t>
  </si>
  <si>
    <t>10.1039/d3ob01673k</t>
  </si>
  <si>
    <t>butyl amine</t>
  </si>
  <si>
    <t>Pyridine-3-carboxylic acid</t>
  </si>
  <si>
    <t>Benzthaizole amine</t>
  </si>
  <si>
    <t>tertbutanoic acid</t>
  </si>
  <si>
    <t>Ammonia</t>
  </si>
  <si>
    <t>Borane</t>
  </si>
  <si>
    <t>10.1021/acs.orglett.0c03184</t>
  </si>
  <si>
    <t>trifluoromethanoic acid</t>
  </si>
  <si>
    <t>4-hydroxybenzylethyl amine</t>
  </si>
  <si>
    <t>morpholine</t>
  </si>
  <si>
    <t>hexan-1-amine</t>
  </si>
  <si>
    <t>COMU</t>
  </si>
  <si>
    <t>2,6-lutidine</t>
  </si>
  <si>
    <t>TPGS-750-M</t>
  </si>
  <si>
    <t>https://doi.org/10.1021/acs.orglett.5b01812</t>
  </si>
  <si>
    <t>4-methylbenzoic acid</t>
  </si>
  <si>
    <t>ethyl phenylalaninate</t>
  </si>
  <si>
    <t>N,O-dimethylhydroxylamine</t>
  </si>
  <si>
    <t>2-(3,4-dimethoxyphenyl)ethan-1-amine</t>
  </si>
  <si>
    <t>3-phenylpropiolic acid</t>
  </si>
  <si>
    <t>((benzyloxy)carbonyl)leucine</t>
  </si>
  <si>
    <t>ethyl leucinate</t>
  </si>
  <si>
    <t>1-(3-(trifluoromethyl)phenyl)piperazine</t>
  </si>
  <si>
    <t>4-chlorobenzoic acid</t>
  </si>
  <si>
    <t>tryptophan</t>
  </si>
  <si>
    <t>2-(((benzyloxy)carbonyl)amino)-2-methylpropanoic acid</t>
  </si>
  <si>
    <t>CDI</t>
  </si>
  <si>
    <t>https://doi.org/10.1016/j.rechem.2023.100882</t>
  </si>
  <si>
    <t>cyclohexanecarboxylic acid</t>
  </si>
  <si>
    <t>phenylmethanamine</t>
  </si>
  <si>
    <t>2-morpholinoethan-1-amine</t>
  </si>
  <si>
    <t>B(OCH2CF3)3</t>
  </si>
  <si>
    <t>https://doi.org/10.1021/jo400509n</t>
  </si>
  <si>
    <t>butan-1-amine</t>
  </si>
  <si>
    <t>dimethylamine</t>
  </si>
  <si>
    <t>Borane•Pyridine</t>
  </si>
  <si>
    <t>https://doi.org/10.3390/molecules29010268</t>
  </si>
  <si>
    <t>dibenzylamine</t>
  </si>
  <si>
    <t>WO2007051982</t>
  </si>
  <si>
    <t>4-Aminoquinoline</t>
  </si>
  <si>
    <t>1,2,3-triazole-4-carboxylic acid</t>
  </si>
  <si>
    <t>https://doi.org/10.1016/j.tet.2008.09.091</t>
  </si>
  <si>
    <t>1-Adamantanecarboxylic acid</t>
  </si>
  <si>
    <t>3-indazole carboxylic acid </t>
  </si>
  <si>
    <t> 2-amino-thiazole </t>
  </si>
  <si>
    <t>WO2009019202</t>
  </si>
  <si>
    <t>WO2006013054</t>
  </si>
  <si>
    <t>NMP</t>
  </si>
  <si>
    <r>
      <t>4</t>
    </r>
    <r>
      <rPr>
        <i/>
        <sz val="12"/>
        <rFont val="Arial"/>
        <family val="2"/>
      </rPr>
      <t>H</t>
    </r>
    <r>
      <rPr>
        <sz val="12"/>
        <rFont val="Arial"/>
        <family val="2"/>
      </rPr>
      <t>-Benzo[6,7]cyclohepta[1,2-</t>
    </r>
    <r>
      <rPr>
        <i/>
        <sz val="12"/>
        <rFont val="Arial"/>
        <family val="2"/>
      </rPr>
      <t>d</t>
    </r>
    <r>
      <rPr>
        <sz val="12"/>
        <rFont val="Arial"/>
        <family val="2"/>
      </rPr>
      <t>]thiazol-2-amine, 5,6-dihydro</t>
    </r>
  </si>
  <si>
    <t>3-Thiophenecarboxylic acid</t>
  </si>
  <si>
    <t>https://doi.org/10.1002/anie.202500897</t>
  </si>
  <si>
    <t>EDCI </t>
  </si>
  <si>
    <t>Cyclopentylamine</t>
  </si>
  <si>
    <t>bicyclo[2.2.1]hept-2-ene-2-carboxylic acid</t>
  </si>
  <si>
    <r>
      <t>(</t>
    </r>
    <r>
      <rPr>
        <i/>
        <sz val="12"/>
        <rFont val="Arial"/>
        <family val="2"/>
      </rPr>
      <t>S</t>
    </r>
    <r>
      <rPr>
        <sz val="12"/>
        <rFont val="Arial"/>
        <family val="2"/>
      </rPr>
      <t>)-2-Amino-4-methyl-1-(pyrrolidin-1-yl)pentan-1-one</t>
    </r>
  </si>
  <si>
    <r>
      <t>(</t>
    </r>
    <r>
      <rPr>
        <i/>
        <sz val="12"/>
        <rFont val="Arial"/>
        <family val="2"/>
      </rPr>
      <t>R</t>
    </r>
    <r>
      <rPr>
        <sz val="12"/>
        <rFont val="Arial"/>
        <family val="2"/>
      </rPr>
      <t>)-3-hydroxy-3-phenylpropionic acid</t>
    </r>
  </si>
  <si>
    <t>https://doi.org/10.1021/jo500292m</t>
  </si>
  <si>
    <t>Ethyl 2-cyano-2-(2-nitrobenzenesulfonyloxyimino)acetate</t>
  </si>
  <si>
    <t>benzylamine</t>
  </si>
  <si>
    <t> phenylacetic acid </t>
  </si>
  <si>
    <t>WO2009106203</t>
  </si>
  <si>
    <t>4-Methylmorpholine</t>
  </si>
  <si>
    <t>2-Amino-5-chlorpyridine</t>
  </si>
  <si>
    <t>5-Propylthiophene-3-carboxylic acid</t>
  </si>
  <si>
    <t>https://doi.org/10.3109/14756366.2010.543419</t>
  </si>
  <si>
    <t>3-Aminopyridine</t>
  </si>
  <si>
    <t>quinoxalin-2-carboxylic acid</t>
  </si>
  <si>
    <t>https://doi.org/10.1016/j.tet.2008.09.093</t>
  </si>
  <si>
    <t>4-hydroxybenzoic acid </t>
  </si>
  <si>
    <t>https://doi.org/10.1111/cbdd.13041</t>
  </si>
  <si>
    <t>DMSO</t>
  </si>
  <si>
    <t>1H-pyrrole-3-carboxylic acid </t>
  </si>
  <si>
    <t>cyclopropylamine</t>
  </si>
  <si>
    <t>US20110086853</t>
  </si>
  <si>
    <t>indole-3-carboxylic acid </t>
  </si>
  <si>
    <t>3-aminopyridine</t>
  </si>
  <si>
    <t>EP2108649</t>
  </si>
  <si>
    <r>
      <t>1</t>
    </r>
    <r>
      <rPr>
        <i/>
        <sz val="12"/>
        <rFont val="Arial"/>
        <family val="2"/>
      </rPr>
      <t>H</t>
    </r>
    <r>
      <rPr>
        <sz val="12"/>
        <rFont val="Arial"/>
        <family val="2"/>
      </rPr>
      <t>-Benzimidazole-7-carboxylic acid</t>
    </r>
  </si>
  <si>
    <t>3-Aminoquinuclidine</t>
  </si>
  <si>
    <t>1,8-diazabicyclo-[5.4.0]undec-7-ene</t>
  </si>
  <si>
    <t>https://doi.org/10.1021/jm991076c</t>
  </si>
  <si>
    <r>
      <t>2-Thiophenecarboxylic acid, 4-[2-(4-fluorophenyl)-1</t>
    </r>
    <r>
      <rPr>
        <i/>
        <sz val="12"/>
        <color rgb="FF262626"/>
        <rFont val="Arial"/>
        <family val="2"/>
      </rPr>
      <t>H</t>
    </r>
    <r>
      <rPr>
        <sz val="12"/>
        <color rgb="FF262626"/>
        <rFont val="Arial"/>
        <family val="2"/>
      </rPr>
      <t>-pyrrolo[2,3-</t>
    </r>
    <r>
      <rPr>
        <i/>
        <sz val="12"/>
        <color rgb="FF262626"/>
        <rFont val="Arial"/>
        <family val="2"/>
      </rPr>
      <t>b</t>
    </r>
    <r>
      <rPr>
        <sz val="12"/>
        <color rgb="FF262626"/>
        <rFont val="Arial"/>
        <family val="2"/>
      </rPr>
      <t>]pyridin-5-yl]</t>
    </r>
  </si>
  <si>
    <t>3-aminopropane-1,2-diol</t>
  </si>
  <si>
    <t>10.1016/j.ejmech.2023.116101</t>
  </si>
  <si>
    <t>N-ethylmorpholine </t>
  </si>
  <si>
    <t>WO2012143415</t>
  </si>
  <si>
    <t>Retinoic acid</t>
  </si>
  <si>
    <t>10.1021/jm200256g</t>
  </si>
  <si>
    <r>
      <t>2(1</t>
    </r>
    <r>
      <rPr>
        <i/>
        <sz val="12"/>
        <color rgb="FF262626"/>
        <rFont val="Arial"/>
        <family val="2"/>
      </rPr>
      <t>H</t>
    </r>
    <r>
      <rPr>
        <sz val="12"/>
        <color rgb="FF262626"/>
        <rFont val="Arial"/>
        <family val="2"/>
      </rPr>
      <t>)-Isoquinolineacetic acid, 6-[5-[3-cyano-4-(1-methylethoxy)phenyl]-1,2,4-oxadiazol-3-yl]-3,4-dihydro-5-methyl</t>
    </r>
  </si>
  <si>
    <t>WO2010146105</t>
  </si>
  <si>
    <r>
      <t>Thieno[2,3-</t>
    </r>
    <r>
      <rPr>
        <i/>
        <sz val="12"/>
        <color rgb="FF262626"/>
        <rFont val="Arial"/>
        <family val="2"/>
      </rPr>
      <t>d</t>
    </r>
    <r>
      <rPr>
        <sz val="12"/>
        <color rgb="FF262626"/>
        <rFont val="Arial"/>
        <family val="2"/>
      </rPr>
      <t>]pyrimidine-2-carboxylic acid, 4-[5,6-dihydro-3-(trifluoromethyl)-1,2,4-triazolo[4,3-</t>
    </r>
    <r>
      <rPr>
        <i/>
        <sz val="12"/>
        <color rgb="FF262626"/>
        <rFont val="Arial"/>
        <family val="2"/>
      </rPr>
      <t>a</t>
    </r>
    <r>
      <rPr>
        <sz val="12"/>
        <color rgb="FF262626"/>
        <rFont val="Arial"/>
        <family val="2"/>
      </rPr>
      <t>]pyrazin-7(8</t>
    </r>
    <r>
      <rPr>
        <i/>
        <sz val="12"/>
        <color rgb="FF262626"/>
        <rFont val="Arial"/>
        <family val="2"/>
      </rPr>
      <t>H</t>
    </r>
    <r>
      <rPr>
        <sz val="12"/>
        <color rgb="FF262626"/>
        <rFont val="Arial"/>
        <family val="2"/>
      </rPr>
      <t>)-yl]-6-propyl</t>
    </r>
  </si>
  <si>
    <t>WO2010027236</t>
  </si>
  <si>
    <t> 2-amino-1,3-propanediol</t>
  </si>
  <si>
    <t>WO2013084138</t>
  </si>
  <si>
    <t>7-[5-[3-cyano-4-(1-methylethoxy)phenyl]-1,2,4-oxadiazol-3-yl]-1,2,4,5-tetrahydro-3H-3-Benzazepine-3-acetic acid</t>
  </si>
  <si>
    <t>CC(C)C[C@@H](C(O)=O)NC(OC(C)(C)C)=O</t>
  </si>
  <si>
    <t>CC(C)(C)[C@@H](C(O)=O)NC(OC(C)(C)C)=O</t>
  </si>
  <si>
    <t>C[C@H](C(O)=O)NC(OC(C)(C)C)=O</t>
  </si>
  <si>
    <t>CC(C)[C@@H](C(O)=O)NC(OC(C)(C)C)=O</t>
  </si>
  <si>
    <t>O=C(O)C1=CC=CC=C1</t>
  </si>
  <si>
    <t>O=C(O)CC1=CC=CC=C1</t>
  </si>
  <si>
    <t>O=C(O)C1=CC=C(OC)C=C1</t>
  </si>
  <si>
    <t>4-methoxy benzoic acid</t>
  </si>
  <si>
    <r>
      <t>Ethanaminium, 2-hydroxy-</t>
    </r>
    <r>
      <rPr>
        <i/>
        <sz val="12"/>
        <color rgb="FF000000"/>
        <rFont val="Arial"/>
        <family val="2"/>
      </rPr>
      <t>N</t>
    </r>
    <r>
      <rPr>
        <sz val="12"/>
        <color rgb="FF000000"/>
        <rFont val="Arial"/>
        <family val="2"/>
      </rPr>
      <t>,</t>
    </r>
    <r>
      <rPr>
        <i/>
        <sz val="12"/>
        <color rgb="FF000000"/>
        <rFont val="Arial"/>
        <family val="2"/>
      </rPr>
      <t>N</t>
    </r>
    <r>
      <rPr>
        <sz val="12"/>
        <color rgb="FF000000"/>
        <rFont val="Arial"/>
        <family val="2"/>
      </rPr>
      <t>,</t>
    </r>
    <r>
      <rPr>
        <i/>
        <sz val="12"/>
        <color rgb="FF000000"/>
        <rFont val="Arial"/>
        <family val="2"/>
      </rPr>
      <t>N</t>
    </r>
    <r>
      <rPr>
        <sz val="12"/>
        <color rgb="FF000000"/>
        <rFont val="Arial"/>
        <family val="2"/>
      </rPr>
      <t>-trimethyl-, chloride, mixt. with benzoic acid</t>
    </r>
  </si>
  <si>
    <r>
      <t>Benzoic-</t>
    </r>
    <r>
      <rPr>
        <i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-</t>
    </r>
    <r>
      <rPr>
        <i/>
        <sz val="12"/>
        <color rgb="FF000000"/>
        <rFont val="Arial"/>
        <family val="2"/>
      </rPr>
      <t>d</t>
    </r>
    <r>
      <rPr>
        <sz val="12"/>
        <color rgb="FF000000"/>
        <rFont val="Arial"/>
        <family val="2"/>
      </rPr>
      <t> acid</t>
    </r>
  </si>
  <si>
    <t>1-Naphthoic acid</t>
  </si>
  <si>
    <t>O=C(O)C1=C2C=CC=CC2=CC=C1</t>
  </si>
  <si>
    <t>O=C(O)C1=CC=C(C2=CC=CC=C2)C=C1</t>
  </si>
  <si>
    <t>O=C(C1=C(O)C=CC=C1C2=CC=CC=C2)O</t>
  </si>
  <si>
    <t>N1CCCC1</t>
  </si>
  <si>
    <t>CC(C)N(CC)C(C)C</t>
  </si>
  <si>
    <t>CCN(CC)CC</t>
  </si>
  <si>
    <t>N1CCCCC1</t>
  </si>
  <si>
    <t>CN1CCOCC1</t>
  </si>
  <si>
    <t>C1=NC=CC=C1</t>
  </si>
  <si>
    <t>CC1=NC(C)=CC=C1</t>
  </si>
  <si>
    <t>O=C(OCC1=CC=CC=C1)[C@H]2NCCC2</t>
  </si>
  <si>
    <t>C[C@@]1([C@](C(C)=O)(OC(C)=O)CC2)[C@]2([H])[C@@](C=C(C)C3=CC4=O)([H])[C@]([C@]3(CC4)C)([H])CC1</t>
  </si>
  <si>
    <t>N12CCCCCC1=NCCC2</t>
  </si>
  <si>
    <t>CCN1CCOCC1</t>
  </si>
  <si>
    <t>CN(C)CCCN=C=NCC.Cl</t>
  </si>
  <si>
    <t>F[P-](F)(F)(F)(F)F.C/[N+](C)=C(N(C)C)\ON1C2=NC=CC=C2N=N1</t>
  </si>
  <si>
    <t>CN(C)CCCN=C=NCC</t>
  </si>
  <si>
    <t>C1(CCCCC1)N=C=NC2CCCCC2</t>
  </si>
  <si>
    <t>O=C(C1)NCC21CCCCC2</t>
  </si>
  <si>
    <t>C/[N+](C)=C(O/N=C(C#N)/C(OCC)=O)/N1CCOCC1.F[P-](F)(F)(F)(F)F</t>
  </si>
  <si>
    <t>F[P-](F)(F)(F)(F)F.C1(N(O[P+](N2CCCC2)(N3CCCC3)N4CCCC4)N=N5)=C5C=CC=C1</t>
  </si>
  <si>
    <t>CN(C)[P+](N(C)C)(N(C)C)ON1C2=C(N=N1)C=CC=C2.F[P-](F)(F)(F)(F)F</t>
  </si>
  <si>
    <t>CC(C)(C)OC1C2=CC=CC=C2C=CN1C(OC(C)(C)C)=O</t>
  </si>
  <si>
    <t>C/[N+](C)=C(N(C)C)\ON1N=NC2=C1C=CC=C2.F[B-](F)(F)F</t>
  </si>
  <si>
    <t>C=CCS(Cl)=O</t>
  </si>
  <si>
    <t>O=C(Cl)OCC(C)C</t>
  </si>
  <si>
    <t>OB(C1=CC(C(F)(F)F)=CC(C(F)(F)F)=C1)O</t>
  </si>
  <si>
    <t>O=P(OCC)(OCC)ON1C2=CC=CC=C2N=C1C3=CC=CO3</t>
  </si>
  <si>
    <t>[Nb+5].[Cl-].[Cl-].[Cl-].[Cl-].[Cl-]</t>
  </si>
  <si>
    <t>O=C(Cl)C(Cl)=O</t>
  </si>
  <si>
    <t>CCO[Si](OCC)(CCCN)OCC</t>
  </si>
  <si>
    <t>C1=NC=CN1</t>
  </si>
  <si>
    <t>OB(C1=CC=CC=C1C(F)(F)F)O</t>
  </si>
  <si>
    <r>
      <t>[Ir{dF(CF</t>
    </r>
    <r>
      <rPr>
        <vertAlign val="subscript"/>
        <sz val="12"/>
        <color rgb="FFE06363"/>
        <rFont val="Arial"/>
        <family val="2"/>
      </rPr>
      <t>3</t>
    </r>
    <r>
      <rPr>
        <sz val="12"/>
        <color rgb="FFE06363"/>
        <rFont val="Arial"/>
        <family val="2"/>
      </rPr>
      <t>)ppy}</t>
    </r>
    <r>
      <rPr>
        <vertAlign val="subscript"/>
        <sz val="12"/>
        <color rgb="FFE06363"/>
        <rFont val="Arial"/>
        <family val="2"/>
      </rPr>
      <t>2</t>
    </r>
    <r>
      <rPr>
        <sz val="12"/>
        <color rgb="FFE06363"/>
        <rFont val="Arial"/>
        <family val="2"/>
      </rPr>
      <t>(dtbpy)]PF</t>
    </r>
    <r>
      <rPr>
        <vertAlign val="subscript"/>
        <sz val="12"/>
        <color rgb="FFE06363"/>
        <rFont val="Arial"/>
        <family val="2"/>
      </rPr>
      <t>6, Co(dmgH)(dmgH2)Cl2</t>
    </r>
  </si>
  <si>
    <t>[O-]C(C)=CC(C)=O.[O-]C(C)=CC(C)=O.[O-]C(C)=CC(C)=O.[Fe+3]</t>
  </si>
  <si>
    <t>CC([O-])C.CC([O-])C.CC([O-])C.CC([O-])C.[Ti+4]</t>
  </si>
  <si>
    <t>ON1C(C2=CC=CC=C2)=NC3=CC=CC=C31</t>
  </si>
  <si>
    <t>N.B</t>
  </si>
  <si>
    <t>OB(O)O</t>
  </si>
  <si>
    <t>CC([O-])=O.CC([O-])=O.[Cu+2]</t>
  </si>
  <si>
    <t>CC1=CC=NC=C1.B</t>
  </si>
  <si>
    <t>[PH2+2]C1=CC=CC=C1C(F)(F)F.O=O.[O-2]</t>
  </si>
  <si>
    <t>C[N+]1=C(Cl)C=CC=C1.[I]</t>
  </si>
  <si>
    <t>B</t>
  </si>
  <si>
    <t>FC(COB(OCC(F)(F)F)OCC(F)(F)F)(F)F</t>
  </si>
  <si>
    <t>B[N+]1=CC=CC=C1</t>
  </si>
  <si>
    <t>O=C(OCC)C(C#N)=NOS(=O)(C1=CC=CC=C1[N+]([O-])=O)=O</t>
  </si>
  <si>
    <t>C1CCOC1</t>
  </si>
  <si>
    <t>CN1C(CCC1)=O</t>
  </si>
  <si>
    <t>CC#N</t>
  </si>
  <si>
    <t>ClC(Cl)Cl</t>
  </si>
  <si>
    <t>ACN/water</t>
  </si>
  <si>
    <t>CC1=CC=CC=C1</t>
  </si>
  <si>
    <t>ClC1=CC=CC=C1Cl</t>
  </si>
  <si>
    <t>CC1=CC=C(C)C=C1</t>
  </si>
  <si>
    <t>CC1=CC=CC(C)=C1</t>
  </si>
  <si>
    <t>CC1=CC=CC=C1C</t>
  </si>
  <si>
    <t>THF:Water</t>
  </si>
  <si>
    <t>O=S(C)C</t>
  </si>
  <si>
    <t>[H]O[H]</t>
  </si>
  <si>
    <t>C1CCOC1/[H]O[H]</t>
  </si>
  <si>
    <t>O=C(OCCOCCOCCOCCOCCOCCOCCOCCOCCOCCOCCOCCOCCOCCOCCOCCOC)C1N(C(CCCCCCCCCCCC)=O)CCC1</t>
  </si>
  <si>
    <t>CC(O1)(CCCC(C)CCCC(C)CCCC(C)C)CCC2=C1C(C)=C(C)C(OC(CCC(OCCOCCOCCOCCOCCOCCOCCOCCOCCOCCOCCOCCOCCOCCOCCOCCOC)=O)=O)=C2C</t>
  </si>
  <si>
    <r>
      <t>Diethyl 2-(2-furanyl)-1</t>
    </r>
    <r>
      <rPr>
        <i/>
        <sz val="12"/>
        <color theme="1"/>
        <rFont val="Arial"/>
        <family val="2"/>
      </rPr>
      <t>H</t>
    </r>
    <r>
      <rPr>
        <sz val="12"/>
        <color theme="1"/>
        <rFont val="Arial"/>
        <family val="2"/>
      </rPr>
      <t>-benzimidazol-1-yl phosphate</t>
    </r>
  </si>
  <si>
    <r>
      <t> </t>
    </r>
    <r>
      <rPr>
        <i/>
        <sz val="12"/>
        <color rgb="FF262626"/>
        <rFont val="Open_Sans"/>
        <charset val="1"/>
      </rPr>
      <t>N</t>
    </r>
    <r>
      <rPr>
        <sz val="12"/>
        <color rgb="FF262626"/>
        <rFont val="Open_Sans"/>
        <charset val="1"/>
      </rPr>
      <t>-hydroxy-2-phenylbenzimidazole</t>
    </r>
  </si>
  <si>
    <t>O=C(O)C1=CC=CC=C1C2=CC=CC=C2</t>
  </si>
  <si>
    <t>O=C(O)C1=CC=CC=C1B2OC(C)(C)C(C)(C)O2</t>
  </si>
  <si>
    <t>O=C(O)C1=CC=C(OC2=CC=CC=C2)C=C1</t>
  </si>
  <si>
    <t>O=C(O)C1=CC=CC=C1Br</t>
  </si>
  <si>
    <t>O=C(O)C1=C(C=CC=C1C2=CC=CC=C2)O</t>
  </si>
  <si>
    <t>O=C([O-])C1=CC=CC=C1.[Na+]</t>
  </si>
  <si>
    <t>OCC[N+](C)(C)C.O=C(O)C1=CC=CC=C1.[Cl-]</t>
  </si>
  <si>
    <t>OC(C1=C([2H])C=CC=C1)=O</t>
  </si>
  <si>
    <t>CCCCCC(O)=O</t>
  </si>
  <si>
    <t>O=C(O)C1=CC=C(C#N)C=C1</t>
  </si>
  <si>
    <t>O=C(O)C1=CC=CC=C1[N+]([O-])=O</t>
  </si>
  <si>
    <t>O=C(O)C1=CC=CC(Br)=C1</t>
  </si>
  <si>
    <t>O=C(O)C1=CC=C(C=C)C=C1</t>
  </si>
  <si>
    <t>O=C(C1=CSC=C1)O</t>
  </si>
  <si>
    <t>OCC(O)CN</t>
  </si>
  <si>
    <t>OCC(N)CO</t>
  </si>
  <si>
    <t>NCC1=CC=CC=C1</t>
  </si>
  <si>
    <t>O=C(OC)[C@H]1NCCC1.[H]Cl</t>
  </si>
  <si>
    <t>OC1CCNCC1</t>
  </si>
  <si>
    <t>O=C(OC(C)(C)C)N[C@H](C1=CC=C(Br)C=C1)C</t>
  </si>
  <si>
    <t>O=C([C@@H]1[C@@]2([H])C(C)(C)[C@@]2([H])CN1)[O-]</t>
  </si>
  <si>
    <t>O=C(OC)[C@H]1NC[C@H](O)C1</t>
  </si>
  <si>
    <t>O=C(OCC1=CC=CC=C1)[C@H]2NCCC2.[H]Cl</t>
  </si>
  <si>
    <t>NC(C1=CC=CC=C1)C</t>
  </si>
  <si>
    <t xml:space="preserve">        NC1=CC=CC=C1</t>
  </si>
  <si>
    <t>NC1=CC=CC=C1</t>
  </si>
  <si>
    <t>NC1=CC=C(OC)C=C1</t>
  </si>
  <si>
    <t>NC1=CC=C(C(C)(C)C)C=C1</t>
  </si>
  <si>
    <t>NC1CCCCC1</t>
  </si>
  <si>
    <t>NC1=CC=CC=C1.[H]Cl</t>
  </si>
  <si>
    <t>CCOC(C1=CC=C(C=C1)N)=O</t>
  </si>
  <si>
    <t>NC1CCCCC1.[H]Cl</t>
  </si>
  <si>
    <t>CCC(N)CC</t>
  </si>
  <si>
    <t>NCC.[H]Cl</t>
  </si>
  <si>
    <t>[NH3+]CC1=CC=CC=C1.[Cl-]</t>
  </si>
  <si>
    <t>NC1=CC=C(C)C=C1</t>
  </si>
  <si>
    <t>C12=CC=CC=C1NC=N2</t>
  </si>
  <si>
    <t>NC1CN2CCC1CC2</t>
  </si>
  <si>
    <t>N1CCOCC1</t>
  </si>
  <si>
    <t>NC1=CC=CN=C1</t>
  </si>
  <si>
    <t>ClC1=CN=C(N)C=C1</t>
  </si>
  <si>
    <t>NC1CC1</t>
  </si>
  <si>
    <t>CC(C)C[C@H](N)C(N1CCCC1)=O</t>
  </si>
  <si>
    <t>NC1CCCC1</t>
  </si>
  <si>
    <t>NC1=NC2=C(CCCC3=CC=CC=C32)S1</t>
  </si>
  <si>
    <t>O=C(C1=COC=C1)O</t>
  </si>
  <si>
    <t>O=C(O)C1=CC=C(Cl)C(Cl)=C1</t>
  </si>
  <si>
    <t>O=C(O)C1=CN=CC=C1</t>
  </si>
  <si>
    <t>O=C(O)C1=CC=C(C(F)(F)F)C=C1</t>
  </si>
  <si>
    <t>CC(C(O)=O)C</t>
  </si>
  <si>
    <t>O=C(O)C1=CC=C(I)C=C1</t>
  </si>
  <si>
    <t>C1(CNCC2=CC=CC=C2)=CC=CC=C1</t>
  </si>
  <si>
    <t>NC(C)(C)C</t>
  </si>
  <si>
    <t>N[C@@H](CC1=CC=CC=C1)C(OC)=O</t>
  </si>
  <si>
    <t>N[C@@H](CC1=CC=CC=C1)C(OCC2=CC=CC=C2)=O</t>
  </si>
  <si>
    <t>CCC(N)C(OC(C)(C)C)=O</t>
  </si>
  <si>
    <t>C[C@@H](C(O)=O)NS(=O)(C1=CC=C(C)C=C1)=O</t>
  </si>
  <si>
    <t>NC1=CC=C(Cl)C=C1</t>
  </si>
  <si>
    <t>NC12CC3CC(C2)CC(C3)C1</t>
  </si>
  <si>
    <t>NC1=NC=CS1</t>
  </si>
  <si>
    <t>NCCCC</t>
  </si>
  <si>
    <t>NC1=NC2=CC=CC=C2S1</t>
  </si>
  <si>
    <t>[H]N([H])[H]</t>
  </si>
  <si>
    <t>NC(CC1=CC=C(O)C=C1)C</t>
  </si>
  <si>
    <t>CCCCCCN</t>
  </si>
  <si>
    <t>CNC</t>
  </si>
  <si>
    <t>N[C@@H](CC1=CC=CC=C1)C(OCC)=O</t>
  </si>
  <si>
    <t>CONC</t>
  </si>
  <si>
    <t>NCCC1=CC=C(OC)C(OC)=C1</t>
  </si>
  <si>
    <t>N[C@@H](CC(C)C)C(OCC)=O</t>
  </si>
  <si>
    <t>FC(C1=CC(N2CCNCC2)=CC=C1)(F)F</t>
  </si>
  <si>
    <t>N[C@@H](CC1=CNC2=C1C=CC=C2)C(O)=O</t>
  </si>
  <si>
    <t>NCCN1CCOCC1</t>
  </si>
  <si>
    <t>CCCCN</t>
  </si>
  <si>
    <t>NC1=CC=NC2=CC=CC=C12</t>
  </si>
  <si>
    <t>CNCC1=CC=CC=C1</t>
  </si>
  <si>
    <t>NC1=CC=C(Br)C=C1</t>
  </si>
  <si>
    <t>O=C(C1=NC=CC2=C1C=CC=C2)O</t>
  </si>
  <si>
    <t>CC(C)[C@@H](C(O)=O)NC(OCC1=CC=CC=C1)=O</t>
  </si>
  <si>
    <t>O=C(O)[C@H](CCCCNC(OCC1C2=C(C3=C1C=CC=C3)C=CC=C2)=O)NC(OC(C)(C)C)=O</t>
  </si>
  <si>
    <t>N[C@@H](C)C(OC(C)(C)C)=O</t>
  </si>
  <si>
    <t>O=C(O)C(C1=CNC2=C1C=CC=C2)=O</t>
  </si>
  <si>
    <t>O=C(O)[C@H]1N(C(OC(C)(C)C)=O)CCC1</t>
  </si>
  <si>
    <t>O=C(O)CC1=CSC=C1</t>
  </si>
  <si>
    <t>O=C(C1CCC(F)(F)CC1)O</t>
  </si>
  <si>
    <t>O=C(O)CC1=CC=C(Cl)C=C1</t>
  </si>
  <si>
    <t>CCC(O)=O.C1=CC=CC=C1</t>
  </si>
  <si>
    <t>O=C(O)CC1=CC=CC([N+]([O-])=O)=C1</t>
  </si>
  <si>
    <t>O=C(O)CC1=CC=CC=C1Br</t>
  </si>
  <si>
    <t>O=C(O)C1=CC=C([N+]([O-])=O)C=C1</t>
  </si>
  <si>
    <t>O=C(C1=CC=CN=C1)O</t>
  </si>
  <si>
    <t>CC(C)(CC(O)=O)C</t>
  </si>
  <si>
    <t>O=C(F)(F)(F)O</t>
  </si>
  <si>
    <t>O=C(O)C1=CC=C(C)C=C1</t>
  </si>
  <si>
    <t>O=C(O)C#CC1=CC=CC=C1</t>
  </si>
  <si>
    <t>CC(C)C[C@@H](C(O)=O)NC(OCC1=CC=CC=C1)=O</t>
  </si>
  <si>
    <t>ClC1=CC=C(C(O)=O)C=C1</t>
  </si>
  <si>
    <t>CC(C)(NC(OCC1=CC=CC=C1)=O)C(O)=O</t>
  </si>
  <si>
    <t>O=C(C1CCCCC1)O</t>
  </si>
  <si>
    <t>O=C(C1=CNN=N1)O</t>
  </si>
  <si>
    <t>O=C(C12CC3CC(C2)CC(C3)C1)O</t>
  </si>
  <si>
    <t>O=C(O)C1=NNC2=CC=CC=C21</t>
  </si>
  <si>
    <t>O=C(C1=CC2CCC1C2)O</t>
  </si>
  <si>
    <t>O=C(O)C[C@@H](O)C1=CC=CC=C1</t>
  </si>
  <si>
    <t>O=C(C1=CSC(CCC)=C1)O</t>
  </si>
  <si>
    <t>O=C(C1=NC2=CC=CC=C2N=C1)O</t>
  </si>
  <si>
    <t>OC(C1=CC=C(O)C=C1)=O</t>
  </si>
  <si>
    <t>O=C(O)C1=CNC=C1</t>
  </si>
  <si>
    <t>O=C(O)C1=CNC2=C1C=CC=C2</t>
  </si>
  <si>
    <t>O=C(C1=C2C(N=CN2)=CC=C1)O</t>
  </si>
  <si>
    <t>O=C(C1=CC(C2=CN=C(NC(C3=CC=C(F)C=C3)=C4)C4=C2)=CS1)O</t>
  </si>
  <si>
    <t>O=C(O)C1=CC=C(C2=CC3=C(N(C(C)=O)[C@@H](C)C[C@H]3NC4=NC=CC=C4)C=C2)C=C1</t>
  </si>
  <si>
    <r>
      <t>4-[(2</t>
    </r>
    <r>
      <rPr>
        <i/>
        <sz val="12"/>
        <color rgb="FF262626"/>
        <rFont val="Arial"/>
        <family val="2"/>
      </rPr>
      <t>S</t>
    </r>
    <r>
      <rPr>
        <sz val="12"/>
        <color rgb="FF262626"/>
        <rFont val="Arial"/>
        <family val="2"/>
      </rPr>
      <t>,4</t>
    </r>
    <r>
      <rPr>
        <i/>
        <sz val="12"/>
        <color rgb="FF262626"/>
        <rFont val="Arial"/>
        <family val="2"/>
      </rPr>
      <t>R</t>
    </r>
    <r>
      <rPr>
        <sz val="12"/>
        <color rgb="FF262626"/>
        <rFont val="Arial"/>
        <family val="2"/>
      </rPr>
      <t>)-1-acetyl-1,2,3,4-tetrahydro-2-methyl-4-(2-pyridinylamino)-6-quinolinyl]benzoic acid</t>
    </r>
  </si>
  <si>
    <t>CC(/C=C/C=C(/C=C/C1=C(CCCC(C)1C)C)C)=C\C(O)=O</t>
  </si>
  <si>
    <t>O=C(O)C1=CC=C(C2=CC3=C(N(C(C)=O)[C@@H](C)C[C@H]3NC4=NC=C(C#N)C=C4)C=C2)C=C1</t>
  </si>
  <si>
    <r>
      <t>4-[(2</t>
    </r>
    <r>
      <rPr>
        <i/>
        <sz val="12"/>
        <color rgb="FF262626"/>
        <rFont val="Arial"/>
        <family val="2"/>
      </rPr>
      <t>S</t>
    </r>
    <r>
      <rPr>
        <sz val="12"/>
        <color rgb="FF262626"/>
        <rFont val="Arial"/>
        <family val="2"/>
      </rPr>
      <t>,4</t>
    </r>
    <r>
      <rPr>
        <i/>
        <sz val="12"/>
        <color rgb="FF262626"/>
        <rFont val="Arial"/>
        <family val="2"/>
      </rPr>
      <t>R</t>
    </r>
    <r>
      <rPr>
        <sz val="12"/>
        <color rgb="FF262626"/>
        <rFont val="Arial"/>
        <family val="2"/>
      </rPr>
      <t>)-1-acetyl-4-[(5-cyano-2-pyridinyl)amino]-1,2,3,4-tetrahydro-2-methyl-6-quinolinyl]benzoic acid</t>
    </r>
  </si>
  <si>
    <t>O=C(O)CN1CC2=C(C(C)=C(C3=NOC(C4=CC=C(OC(C)C)C(C#N)=C4)=N3)C=C2)CC1</t>
  </si>
  <si>
    <t>O=C(C1=NC(N2CC3=NN=C(C(F)(F)F)N3CC2)=C(C=C(CCC)S4)C4=N1)O</t>
  </si>
  <si>
    <r>
      <t>4-[(3a</t>
    </r>
    <r>
      <rPr>
        <i/>
        <sz val="12"/>
        <color rgb="FF262626"/>
        <rFont val="Arial"/>
        <family val="2"/>
      </rPr>
      <t>S</t>
    </r>
    <r>
      <rPr>
        <sz val="12"/>
        <color rgb="FF262626"/>
        <rFont val="Arial"/>
        <family val="2"/>
      </rPr>
      <t>,7a</t>
    </r>
    <r>
      <rPr>
        <i/>
        <sz val="12"/>
        <color rgb="FF262626"/>
        <rFont val="Arial"/>
        <family val="2"/>
      </rPr>
      <t>S</t>
    </r>
    <r>
      <rPr>
        <sz val="12"/>
        <color rgb="FF262626"/>
        <rFont val="Arial"/>
        <family val="2"/>
      </rPr>
      <t>)-3-[4-cyano-3-(trifluoromethyl)phenyl]octahydro-2-oxo-1</t>
    </r>
    <r>
      <rPr>
        <i/>
        <sz val="12"/>
        <color rgb="FF262626"/>
        <rFont val="Arial"/>
        <family val="2"/>
      </rPr>
      <t>H</t>
    </r>
    <r>
      <rPr>
        <sz val="12"/>
        <color rgb="FF262626"/>
        <rFont val="Arial"/>
        <family val="2"/>
      </rPr>
      <t>-benzimidazol-1-yl]-2-fluoro</t>
    </r>
  </si>
  <si>
    <t>O=C(O)CN1CCC2=CC=C(C3=NOC(C4=CC=C(OC(C)C)C(C#N)=C4)=N3)C=C2CC1</t>
  </si>
  <si>
    <t>CN(C)/C(N(C)C)=[O+]\N1N=NC2=CC=CC=C21.F[P-](F)(F)(F)(F)F</t>
  </si>
  <si>
    <t>ClCCl</t>
  </si>
  <si>
    <t>O=CN(C)C</t>
  </si>
  <si>
    <t>O=CN(C)C/CC#N</t>
  </si>
  <si>
    <t>ClCCl/O=CN(C)C</t>
  </si>
  <si>
    <r>
      <t>3-(1</t>
    </r>
    <r>
      <rPr>
        <i/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-benzo[</t>
    </r>
    <r>
      <rPr>
        <i/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]imidazol-2-yl)aniline</t>
    </r>
  </si>
  <si>
    <t>NC1=CC(C2=NC3=CC=CC=C3N2)=CC=C1</t>
  </si>
  <si>
    <t>Triethylamine/DMAP</t>
  </si>
  <si>
    <t>CCN(CC)CC/CN(C1=CC=NC=C1)C</t>
  </si>
  <si>
    <t>2-aminoethane-1-thiol</t>
  </si>
  <si>
    <t>NCCS</t>
  </si>
  <si>
    <t>CC(C)(C)C1=CC=NC(C2=CC(C(C)(C)C)=CC=N2)=C1.FC3=C(C4=NC=C(C=C4)C(F)(F)F)C([Ir]C5=CC(F)=CC(F)=C5C6=CC=C(C=N6)C(F)(F)F)=CC(F)=C3.FP(F)(F)(F)(F)F/ CC(=NO)C(=NO)C.CC(=NO)C(=N[O-])C.[Cl-].[Cl-].[Co]</t>
  </si>
  <si>
    <t>O=C(CC1=CC=CC=C1)O.OCC[N+](C)(C)C.[Cl-]</t>
  </si>
  <si>
    <t>O=S(CCC[P+](C1=CC=CC=C1)(C2=CC=CC=C2)C3=CC=CC=C3)(O)=O.CC4=CC=C(S(=O)([O-])=O)C=C4</t>
  </si>
  <si>
    <t>Acid (SMILES)</t>
  </si>
  <si>
    <t>Amine (SMILES)</t>
  </si>
  <si>
    <t>Activator (SMILES)</t>
  </si>
  <si>
    <t>Base (SMILES)</t>
  </si>
  <si>
    <t>Solvent (SMILES)</t>
  </si>
  <si>
    <r>
      <rPr>
        <i/>
        <sz val="12"/>
        <rFont val="Arial"/>
        <family val="2"/>
      </rPr>
      <t>(tert</t>
    </r>
    <r>
      <rPr>
        <sz val="12"/>
        <rFont val="Arial"/>
        <family val="2"/>
      </rPr>
      <t>-butoxycarbonyl)-</t>
    </r>
    <r>
      <rPr>
        <i/>
        <sz val="12"/>
        <rFont val="Arial"/>
        <family val="2"/>
      </rPr>
      <t>L</t>
    </r>
    <r>
      <rPr>
        <sz val="12"/>
        <rFont val="Arial"/>
        <family val="2"/>
      </rPr>
      <t>-isoleucine</t>
    </r>
  </si>
  <si>
    <t>CC[C@H](C)[C@@H](C(O)=O)NC(OC(C)(C)C)=O</t>
  </si>
  <si>
    <t>3-methylpyridin-2-amine</t>
  </si>
  <si>
    <t>NC1=NC=CC=C1C</t>
  </si>
  <si>
    <t>Indole-2-carboxylic acid</t>
  </si>
  <si>
    <t>O=C(C(N1)=CC2=C1C=CC=C2)O</t>
  </si>
  <si>
    <t>10.1016/j.bmc.2017.05.015</t>
  </si>
  <si>
    <t>3,4,5-trimethoxybenzoic acid</t>
  </si>
  <si>
    <t>O=C(O)C1=CC(OC)=C(OC)C(OC)=C1</t>
  </si>
  <si>
    <t>4-(trifluoromethyl)benzoic acid</t>
  </si>
  <si>
    <t>2-(4-hydroxyphenyl)acetic acid</t>
  </si>
  <si>
    <t>O=C(O)CC1=CC=C(O)C=C1</t>
  </si>
  <si>
    <t>3,5-dimethylaniline</t>
  </si>
  <si>
    <t>NC1=CC(C)=CC(C)=C1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</si>
</sst>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62626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i/>
      <sz val="12"/>
      <color rgb="FF262626"/>
      <name val="Arial"/>
      <family val="2"/>
    </font>
    <font>
      <sz val="12"/>
      <color rgb="FF151515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rgb="FF000000"/>
      <name val="Arial"/>
      <family val="2"/>
    </font>
    <font>
      <vertAlign val="superscript"/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u/>
      <sz val="12"/>
      <name val="Arial"/>
      <family val="2"/>
    </font>
    <font>
      <u/>
      <sz val="12"/>
      <color theme="10"/>
      <name val="AriaL"/>
      <family val="2"/>
    </font>
    <font>
      <sz val="12"/>
      <color rgb="FF001D35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  <charset val="1"/>
    </font>
    <font>
      <sz val="12"/>
      <color rgb="FFE06363"/>
      <name val="Arial"/>
      <family val="2"/>
    </font>
    <font>
      <vertAlign val="subscript"/>
      <sz val="12"/>
      <color rgb="FFE06363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262626"/>
      <name val="Open_Sans"/>
      <charset val="1"/>
    </font>
    <font>
      <sz val="12"/>
      <color rgb="FF262626"/>
      <name val="Open_Sans"/>
      <charset val="1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22">
    <xf numFmtId="0" fontId="0" fillId="0" borderId="0" xfId="0"/>
    <xf numFmtId="0" fontId="5" fillId="0" borderId="0" xfId="0" applyFont="1" applyAlignment="1">
      <alignment horizontal="center"/>
    </xf>
    <xf numFmtId="0" fontId="13" fillId="0" borderId="0" xfId="0" applyFont="1"/>
    <xf numFmtId="0" fontId="12" fillId="0" borderId="0" xfId="0" applyFont="1"/>
    <xf numFmtId="0" fontId="5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/>
    </xf>
    <xf numFmtId="0" fontId="8" fillId="3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0" fillId="0" borderId="5" xfId="0" applyBorder="1"/>
    <xf numFmtId="0" fontId="8" fillId="3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Border="1"/>
    <xf numFmtId="0" fontId="6" fillId="5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/>
    </xf>
    <xf numFmtId="0" fontId="13" fillId="0" borderId="4" xfId="0" applyFont="1" applyBorder="1"/>
    <xf numFmtId="0" fontId="12" fillId="0" borderId="4" xfId="0" applyFont="1" applyBorder="1"/>
    <xf numFmtId="0" fontId="8" fillId="5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9" fontId="4" fillId="2" borderId="7" xfId="0" applyNumberFormat="1" applyFont="1" applyFill="1" applyBorder="1" applyAlignment="1">
      <alignment horizontal="center"/>
    </xf>
    <xf numFmtId="0" fontId="17" fillId="3" borderId="3" xfId="1" applyFont="1" applyFill="1" applyBorder="1" applyAlignment="1">
      <alignment horizontal="center" vertical="center"/>
    </xf>
    <xf numFmtId="0" fontId="18" fillId="4" borderId="3" xfId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6" borderId="3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top"/>
    </xf>
    <xf numFmtId="0" fontId="5" fillId="7" borderId="5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12" fillId="7" borderId="4" xfId="0" applyFont="1" applyFill="1" applyBorder="1"/>
    <xf numFmtId="0" fontId="12" fillId="7" borderId="0" xfId="0" applyFont="1" applyFill="1"/>
    <xf numFmtId="0" fontId="6" fillId="7" borderId="0" xfId="0" applyFont="1" applyFill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0" fillId="7" borderId="4" xfId="0" applyFill="1" applyBorder="1"/>
    <xf numFmtId="0" fontId="0" fillId="7" borderId="0" xfId="0" applyFill="1"/>
    <xf numFmtId="0" fontId="22" fillId="7" borderId="3" xfId="0" applyFont="1" applyFill="1" applyBorder="1" applyAlignment="1">
      <alignment horizontal="center"/>
    </xf>
    <xf numFmtId="0" fontId="13" fillId="7" borderId="4" xfId="0" applyFont="1" applyFill="1" applyBorder="1"/>
    <xf numFmtId="0" fontId="13" fillId="7" borderId="0" xfId="0" applyFont="1" applyFill="1"/>
    <xf numFmtId="0" fontId="8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5" fillId="8" borderId="3" xfId="0" applyFont="1" applyFill="1" applyBorder="1" applyAlignment="1">
      <alignment horizontal="center"/>
    </xf>
    <xf numFmtId="0" fontId="8" fillId="8" borderId="0" xfId="0" applyFont="1" applyFill="1" applyAlignment="1">
      <alignment horizontal="center" vertical="top"/>
    </xf>
    <xf numFmtId="0" fontId="8" fillId="8" borderId="3" xfId="0" applyFont="1" applyFill="1" applyBorder="1" applyAlignment="1">
      <alignment horizontal="center" vertical="top"/>
    </xf>
    <xf numFmtId="0" fontId="5" fillId="8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0" xfId="0" applyFill="1"/>
    <xf numFmtId="0" fontId="13" fillId="0" borderId="0" xfId="0" applyFont="1" applyFill="1"/>
    <xf numFmtId="0" fontId="12" fillId="0" borderId="0" xfId="0" applyFont="1" applyFill="1"/>
    <xf numFmtId="0" fontId="1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top"/>
    </xf>
    <xf numFmtId="0" fontId="5" fillId="7" borderId="8" xfId="0" applyFont="1" applyFill="1" applyBorder="1" applyAlignment="1">
      <alignment horizontal="center"/>
    </xf>
    <xf numFmtId="0" fontId="18" fillId="7" borderId="8" xfId="1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8" fillId="7" borderId="8" xfId="0" applyFont="1" applyFill="1" applyBorder="1" applyAlignment="1">
      <alignment horizontal="center" vertical="top"/>
    </xf>
    <xf numFmtId="0" fontId="8" fillId="7" borderId="9" xfId="0" applyFont="1" applyFill="1" applyBorder="1" applyAlignment="1">
      <alignment horizontal="center" vertical="top"/>
    </xf>
    <xf numFmtId="0" fontId="6" fillId="7" borderId="3" xfId="0" applyFont="1" applyFill="1" applyBorder="1" applyAlignment="1">
      <alignment horizontal="center"/>
    </xf>
    <xf numFmtId="0" fontId="6" fillId="11" borderId="0" xfId="0" applyFont="1" applyFill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8" fillId="11" borderId="3" xfId="0" applyFont="1" applyFill="1" applyBorder="1" applyAlignment="1">
      <alignment horizontal="center" vertical="top"/>
    </xf>
    <xf numFmtId="0" fontId="5" fillId="11" borderId="0" xfId="0" applyFont="1" applyFill="1" applyAlignment="1">
      <alignment horizontal="center" vertical="center"/>
    </xf>
    <xf numFmtId="0" fontId="5" fillId="11" borderId="3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06363"/>
      <color rgb="FFF7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9/C0CC01301C" TargetMode="External"/><Relationship Id="rId18" Type="http://schemas.openxmlformats.org/officeDocument/2006/relationships/hyperlink" Target="https://scifinder-n.cas.org/navigate/?appId=877448e8-e745-4ef5-824a-0ecc16070d48&amp;backKey=66b11619990d45148cc9823a&amp;backToPage=1&amp;cidValue=816&amp;groupOrdinal=1&amp;groupViewContextIndicator=false&amp;isFromAllResults=false&amp;isFromAlternateReactionSteps=false&amp;isFromReactionGroup=false&amp;key=66b11619990d45148cc9823a&amp;metricsOrdinal=1&amp;ordinal=3&amp;resultType=reaction&amp;resultView=DETAIL&amp;state=searchDetail.reaction&amp;suppressNavigation=false&amp;uiContext=366&amp;uiSubContext=551&amp;uriForDetails=multistep-reaction%2Fdfdbd187-388c-5cd3-8d25-6f2371c3b7a2&amp;uriForGroup=substance%2Fpt%2F100469%2Bsubstance%2Fpt%2F65850-%3Esubstance%2Fpt%2F1485707" TargetMode="External"/><Relationship Id="rId26" Type="http://schemas.openxmlformats.org/officeDocument/2006/relationships/hyperlink" Target="https://doi.org/10.1039/D3QO01705B" TargetMode="External"/><Relationship Id="rId39" Type="http://schemas.openxmlformats.org/officeDocument/2006/relationships/hyperlink" Target="https://doi.org/10.1021/acs.orglett.0c03184" TargetMode="External"/><Relationship Id="rId21" Type="http://schemas.openxmlformats.org/officeDocument/2006/relationships/hyperlink" Target="https://doi.org/10.1016/j.bmcl.2004.11.033" TargetMode="External"/><Relationship Id="rId34" Type="http://schemas.openxmlformats.org/officeDocument/2006/relationships/hyperlink" Target="https://doi.org/10.1080/00397911.2023.2259518" TargetMode="External"/><Relationship Id="rId42" Type="http://schemas.openxmlformats.org/officeDocument/2006/relationships/hyperlink" Target="https://doi.org/10.1002/slct.202400325" TargetMode="External"/><Relationship Id="rId47" Type="http://schemas.openxmlformats.org/officeDocument/2006/relationships/hyperlink" Target="https://doi.org/10.1111/cbdd.13039" TargetMode="External"/><Relationship Id="rId50" Type="http://schemas.openxmlformats.org/officeDocument/2006/relationships/hyperlink" Target="https://doi.org/10.1016/j.tet.2008.09.094" TargetMode="External"/><Relationship Id="rId55" Type="http://schemas.openxmlformats.org/officeDocument/2006/relationships/hyperlink" Target="https://doi.org/10.1021/acsomega.7b00523" TargetMode="External"/><Relationship Id="rId7" Type="http://schemas.openxmlformats.org/officeDocument/2006/relationships/hyperlink" Target="https://doi.org/10.1111/cbdd.13039" TargetMode="External"/><Relationship Id="rId2" Type="http://schemas.openxmlformats.org/officeDocument/2006/relationships/hyperlink" Target="https://doi.org/10.1021/acsomega.0c06053" TargetMode="External"/><Relationship Id="rId16" Type="http://schemas.openxmlformats.org/officeDocument/2006/relationships/hyperlink" Target="https://doi.org/10.1021/ol062227q" TargetMode="External"/><Relationship Id="rId29" Type="http://schemas.openxmlformats.org/officeDocument/2006/relationships/hyperlink" Target="https://doi.org/10.1039/d3ob01673k" TargetMode="External"/><Relationship Id="rId11" Type="http://schemas.openxmlformats.org/officeDocument/2006/relationships/hyperlink" Target="https://doi.org/10.1021/acsomega.7b00523" TargetMode="External"/><Relationship Id="rId24" Type="http://schemas.openxmlformats.org/officeDocument/2006/relationships/hyperlink" Target="https://pubs.acs.org/doi/10.1021/acs.orglett.0c01676?goto=supporting-info" TargetMode="External"/><Relationship Id="rId32" Type="http://schemas.openxmlformats.org/officeDocument/2006/relationships/hyperlink" Target="https://doi.org/10.1039/d3ob01673k" TargetMode="External"/><Relationship Id="rId37" Type="http://schemas.openxmlformats.org/officeDocument/2006/relationships/hyperlink" Target="https://doi.org/10.1021/acs.orglett.0c03184" TargetMode="External"/><Relationship Id="rId40" Type="http://schemas.openxmlformats.org/officeDocument/2006/relationships/hyperlink" Target="https://doi.org/10.1021/acs.orglett.0c03184" TargetMode="External"/><Relationship Id="rId45" Type="http://schemas.openxmlformats.org/officeDocument/2006/relationships/hyperlink" Target="https://doi.org/10.1002/slct.202400325" TargetMode="External"/><Relationship Id="rId53" Type="http://schemas.openxmlformats.org/officeDocument/2006/relationships/hyperlink" Target="https://doi.org/10.1021/jm991076c" TargetMode="External"/><Relationship Id="rId58" Type="http://schemas.openxmlformats.org/officeDocument/2006/relationships/hyperlink" Target="https://pubs.acs.org/doi/10.1021/acs.orglett.0c01676?goto=supporting-info" TargetMode="External"/><Relationship Id="rId5" Type="http://schemas.openxmlformats.org/officeDocument/2006/relationships/hyperlink" Target="https://doi.org/10.1002/chem.201002202" TargetMode="External"/><Relationship Id="rId61" Type="http://schemas.openxmlformats.org/officeDocument/2006/relationships/hyperlink" Target="https://doi.org/10.1016/j.ejmech.2023.116101" TargetMode="External"/><Relationship Id="rId19" Type="http://schemas.openxmlformats.org/officeDocument/2006/relationships/hyperlink" Target="https://doi.org/10.1016/j.ejmech.2015.08.025" TargetMode="External"/><Relationship Id="rId14" Type="http://schemas.openxmlformats.org/officeDocument/2006/relationships/hyperlink" Target="https://doi.org/10.1021/acs.jmedchem.8b00673" TargetMode="External"/><Relationship Id="rId22" Type="http://schemas.openxmlformats.org/officeDocument/2006/relationships/hyperlink" Target="https://doi.org/10.1002/slct.202400325" TargetMode="External"/><Relationship Id="rId27" Type="http://schemas.openxmlformats.org/officeDocument/2006/relationships/hyperlink" Target="https://doi.org/10.1080/00397911.2023.2259518" TargetMode="External"/><Relationship Id="rId30" Type="http://schemas.openxmlformats.org/officeDocument/2006/relationships/hyperlink" Target="https://doi.org/10.1039/d3ob01673k" TargetMode="External"/><Relationship Id="rId35" Type="http://schemas.openxmlformats.org/officeDocument/2006/relationships/hyperlink" Target="https://doi.org/10.1080/00397911.2023.2259518" TargetMode="External"/><Relationship Id="rId43" Type="http://schemas.openxmlformats.org/officeDocument/2006/relationships/hyperlink" Target="https://doi.org/10.1002/slct.202400325" TargetMode="External"/><Relationship Id="rId48" Type="http://schemas.openxmlformats.org/officeDocument/2006/relationships/hyperlink" Target="https://doi.org/10.1021/jo500292m" TargetMode="External"/><Relationship Id="rId56" Type="http://schemas.openxmlformats.org/officeDocument/2006/relationships/hyperlink" Target="https://doi.org/10.1016/j.bmc.2017.05.015" TargetMode="External"/><Relationship Id="rId8" Type="http://schemas.openxmlformats.org/officeDocument/2006/relationships/hyperlink" Target="https://doi.org/10.1021/jm301646k" TargetMode="External"/><Relationship Id="rId51" Type="http://schemas.openxmlformats.org/officeDocument/2006/relationships/hyperlink" Target="https://doi.org/10.1111/cbdd.13039" TargetMode="External"/><Relationship Id="rId3" Type="http://schemas.openxmlformats.org/officeDocument/2006/relationships/hyperlink" Target="https://doi.org/10.1021/jo0349375" TargetMode="External"/><Relationship Id="rId12" Type="http://schemas.openxmlformats.org/officeDocument/2006/relationships/hyperlink" Target="https://doi.org/10.1039/C1CY00108F" TargetMode="External"/><Relationship Id="rId17" Type="http://schemas.openxmlformats.org/officeDocument/2006/relationships/hyperlink" Target="https://scifinder-n.cas.org/navigate/?appId=21e4fd51-104b-4849-8e9f-7a9ebd7a0e9c&amp;backKey=66b1b9ebbee6051fc9ee07db&amp;backToPage=1&amp;cidValue=816&amp;groupOrdinal=1&amp;groupViewContextIndicator=false&amp;isFromAllResults=false&amp;isFromAlternateReactionSteps=false&amp;isFromReactionGroup=false&amp;key=66b1b9ebbee6051fc9ee07db&amp;metricsOrdinal=1&amp;ordinal=1&amp;resultType=reaction&amp;resultView=DETAIL&amp;state=searchDetail.reaction&amp;suppressNavigation=false&amp;uiContext=366&amp;uiSubContext=551&amp;uriForDetails=multistep-reaction%2Fab0bcf53-94f7-53c7-98bb-a56e48858b5d&amp;uriForGroup=substance%2Fpt%2F100469%2Bsubstance%2Fpt%2F65850-%3Esubstance%2Fpt%2F1485707" TargetMode="External"/><Relationship Id="rId25" Type="http://schemas.openxmlformats.org/officeDocument/2006/relationships/hyperlink" Target="https://doi.org/10.1039/D3QO01705B" TargetMode="External"/><Relationship Id="rId33" Type="http://schemas.openxmlformats.org/officeDocument/2006/relationships/hyperlink" Target="https://doi.org/10.1080/00397911.2023.2259518" TargetMode="External"/><Relationship Id="rId38" Type="http://schemas.openxmlformats.org/officeDocument/2006/relationships/hyperlink" Target="https://doi.org/10.1021/acs.orglett.0c03184" TargetMode="External"/><Relationship Id="rId46" Type="http://schemas.openxmlformats.org/officeDocument/2006/relationships/hyperlink" Target="https://doi.org/10.1002/anie.202500897" TargetMode="External"/><Relationship Id="rId59" Type="http://schemas.openxmlformats.org/officeDocument/2006/relationships/hyperlink" Target="https://pubs.acs.org/doi/10.1021/acs.orglett.0c01676?goto=supporting-info" TargetMode="External"/><Relationship Id="rId20" Type="http://schemas.openxmlformats.org/officeDocument/2006/relationships/hyperlink" Target="https://doi.org/10.14233/ajchem.2014.15551" TargetMode="External"/><Relationship Id="rId41" Type="http://schemas.openxmlformats.org/officeDocument/2006/relationships/hyperlink" Target="https://doi.org/10.1021/acs.orglett.0c03184" TargetMode="External"/><Relationship Id="rId54" Type="http://schemas.openxmlformats.org/officeDocument/2006/relationships/hyperlink" Target="https://doi.org/10.1021/jo500292m" TargetMode="External"/><Relationship Id="rId1" Type="http://schemas.openxmlformats.org/officeDocument/2006/relationships/hyperlink" Target="https://doi.org/10.1039/C2CC31735D" TargetMode="External"/><Relationship Id="rId6" Type="http://schemas.openxmlformats.org/officeDocument/2006/relationships/hyperlink" Target="https://doi.org/10.1002/1521-3765(20010302)7:5%3C1014::AID-CHEM1014%3E3.0.CO;2-X" TargetMode="External"/><Relationship Id="rId15" Type="http://schemas.openxmlformats.org/officeDocument/2006/relationships/hyperlink" Target="https://doi.org/10.1021/jm301646k" TargetMode="External"/><Relationship Id="rId23" Type="http://schemas.openxmlformats.org/officeDocument/2006/relationships/hyperlink" Target="https://pubs.acs.org/doi/10.1021/acs.orglett.0c01676?goto=supporting-info" TargetMode="External"/><Relationship Id="rId28" Type="http://schemas.openxmlformats.org/officeDocument/2006/relationships/hyperlink" Target="https://doi.org/10.1039/d3ob01673k" TargetMode="External"/><Relationship Id="rId36" Type="http://schemas.openxmlformats.org/officeDocument/2006/relationships/hyperlink" Target="https://doi.org/10.1080/00397911.2023.2259518" TargetMode="External"/><Relationship Id="rId49" Type="http://schemas.openxmlformats.org/officeDocument/2006/relationships/hyperlink" Target="https://doi.org/10.3109/14756366.2010.543419" TargetMode="External"/><Relationship Id="rId57" Type="http://schemas.openxmlformats.org/officeDocument/2006/relationships/hyperlink" Target="https://doi.org/10.1016/j.tet.2008.09.094" TargetMode="External"/><Relationship Id="rId10" Type="http://schemas.openxmlformats.org/officeDocument/2006/relationships/hyperlink" Target="https://doi.org/10.1111/cbdd.13315" TargetMode="External"/><Relationship Id="rId31" Type="http://schemas.openxmlformats.org/officeDocument/2006/relationships/hyperlink" Target="https://doi.org/10.1039/d3ob01673k" TargetMode="External"/><Relationship Id="rId44" Type="http://schemas.openxmlformats.org/officeDocument/2006/relationships/hyperlink" Target="https://doi.org/10.1002/slct.202400325" TargetMode="External"/><Relationship Id="rId52" Type="http://schemas.openxmlformats.org/officeDocument/2006/relationships/hyperlink" Target="https://doi.org/10.1021/jo500292m" TargetMode="External"/><Relationship Id="rId60" Type="http://schemas.openxmlformats.org/officeDocument/2006/relationships/hyperlink" Target="https://doi.org/10.1021/jm200256g" TargetMode="External"/><Relationship Id="rId4" Type="http://schemas.openxmlformats.org/officeDocument/2006/relationships/hyperlink" Target="https://doi.org/10.1002/ejoc.202100355" TargetMode="External"/><Relationship Id="rId9" Type="http://schemas.openxmlformats.org/officeDocument/2006/relationships/hyperlink" Target="https://doi.org/10.1016/j.tet.2008.09.094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9/C0CC01301C" TargetMode="External"/><Relationship Id="rId18" Type="http://schemas.openxmlformats.org/officeDocument/2006/relationships/hyperlink" Target="https://scifinder-n.cas.org/navigate/?appId=877448e8-e745-4ef5-824a-0ecc16070d48&amp;backKey=66b11619990d45148cc9823a&amp;backToPage=1&amp;cidValue=816&amp;groupOrdinal=1&amp;groupViewContextIndicator=false&amp;isFromAllResults=false&amp;isFromAlternateReactionSteps=false&amp;isFromReactionGroup=false&amp;key=66b11619990d45148cc9823a&amp;metricsOrdinal=1&amp;ordinal=3&amp;resultType=reaction&amp;resultView=DETAIL&amp;state=searchDetail.reaction&amp;suppressNavigation=false&amp;uiContext=366&amp;uiSubContext=551&amp;uriForDetails=multistep-reaction%2Fdfdbd187-388c-5cd3-8d25-6f2371c3b7a2&amp;uriForGroup=substance%2Fpt%2F100469%2Bsubstance%2Fpt%2F65850-%3Esubstance%2Fpt%2F1485707" TargetMode="External"/><Relationship Id="rId26" Type="http://schemas.openxmlformats.org/officeDocument/2006/relationships/hyperlink" Target="https://doi.org/10.1039/D3QO01705B" TargetMode="External"/><Relationship Id="rId39" Type="http://schemas.openxmlformats.org/officeDocument/2006/relationships/hyperlink" Target="https://doi.org/10.1021/acs.orglett.0c03184" TargetMode="External"/><Relationship Id="rId21" Type="http://schemas.openxmlformats.org/officeDocument/2006/relationships/hyperlink" Target="https://doi.org/10.1016/j.bmcl.2004.11.033" TargetMode="External"/><Relationship Id="rId34" Type="http://schemas.openxmlformats.org/officeDocument/2006/relationships/hyperlink" Target="https://doi.org/10.1080/00397911.2023.2259518" TargetMode="External"/><Relationship Id="rId42" Type="http://schemas.openxmlformats.org/officeDocument/2006/relationships/hyperlink" Target="https://doi.org/10.1002/slct.202400325" TargetMode="External"/><Relationship Id="rId47" Type="http://schemas.openxmlformats.org/officeDocument/2006/relationships/hyperlink" Target="https://doi.org/10.1111/cbdd.13039" TargetMode="External"/><Relationship Id="rId50" Type="http://schemas.openxmlformats.org/officeDocument/2006/relationships/hyperlink" Target="https://doi.org/10.1016/j.tet.2008.09.094" TargetMode="External"/><Relationship Id="rId55" Type="http://schemas.openxmlformats.org/officeDocument/2006/relationships/hyperlink" Target="https://doi.org/10.1021/acsomega.7b00523" TargetMode="External"/><Relationship Id="rId63" Type="http://schemas.openxmlformats.org/officeDocument/2006/relationships/hyperlink" Target="https://pubs.acs.org/doi/10.1021/acs.orglett.0c01676?goto=supporting-info" TargetMode="External"/><Relationship Id="rId7" Type="http://schemas.openxmlformats.org/officeDocument/2006/relationships/hyperlink" Target="https://doi.org/10.1111/cbdd.13039" TargetMode="External"/><Relationship Id="rId2" Type="http://schemas.openxmlformats.org/officeDocument/2006/relationships/hyperlink" Target="https://doi.org/10.1021/acsomega.0c06053" TargetMode="External"/><Relationship Id="rId16" Type="http://schemas.openxmlformats.org/officeDocument/2006/relationships/hyperlink" Target="https://doi.org/10.1021/ol062227q" TargetMode="External"/><Relationship Id="rId29" Type="http://schemas.openxmlformats.org/officeDocument/2006/relationships/hyperlink" Target="https://doi.org/10.1039/d3ob01673k" TargetMode="External"/><Relationship Id="rId11" Type="http://schemas.openxmlformats.org/officeDocument/2006/relationships/hyperlink" Target="https://doi.org/10.1021/acsomega.7b00523" TargetMode="External"/><Relationship Id="rId24" Type="http://schemas.openxmlformats.org/officeDocument/2006/relationships/hyperlink" Target="https://pubs.acs.org/doi/10.1021/acs.orglett.0c01676?goto=supporting-info" TargetMode="External"/><Relationship Id="rId32" Type="http://schemas.openxmlformats.org/officeDocument/2006/relationships/hyperlink" Target="https://doi.org/10.1039/d3ob01673k" TargetMode="External"/><Relationship Id="rId37" Type="http://schemas.openxmlformats.org/officeDocument/2006/relationships/hyperlink" Target="https://doi.org/10.1021/acs.orglett.0c03184" TargetMode="External"/><Relationship Id="rId40" Type="http://schemas.openxmlformats.org/officeDocument/2006/relationships/hyperlink" Target="https://doi.org/10.1021/acs.orglett.0c03184" TargetMode="External"/><Relationship Id="rId45" Type="http://schemas.openxmlformats.org/officeDocument/2006/relationships/hyperlink" Target="https://doi.org/10.1002/slct.202400325" TargetMode="External"/><Relationship Id="rId53" Type="http://schemas.openxmlformats.org/officeDocument/2006/relationships/hyperlink" Target="https://doi.org/10.1021/jm991076c" TargetMode="External"/><Relationship Id="rId58" Type="http://schemas.openxmlformats.org/officeDocument/2006/relationships/hyperlink" Target="https://doi.org/10.1016/j.ejmech.2023.116101" TargetMode="External"/><Relationship Id="rId5" Type="http://schemas.openxmlformats.org/officeDocument/2006/relationships/hyperlink" Target="https://doi.org/10.1002/chem.201002202" TargetMode="External"/><Relationship Id="rId61" Type="http://schemas.openxmlformats.org/officeDocument/2006/relationships/hyperlink" Target="https://pubs.acs.org/doi/10.1021/acs.orglett.0c01676?goto=supporting-info" TargetMode="External"/><Relationship Id="rId19" Type="http://schemas.openxmlformats.org/officeDocument/2006/relationships/hyperlink" Target="https://doi.org/10.1016/j.ejmech.2015.08.025" TargetMode="External"/><Relationship Id="rId14" Type="http://schemas.openxmlformats.org/officeDocument/2006/relationships/hyperlink" Target="https://doi.org/10.1021/acs.jmedchem.8b00673" TargetMode="External"/><Relationship Id="rId22" Type="http://schemas.openxmlformats.org/officeDocument/2006/relationships/hyperlink" Target="https://doi.org/10.1002/slct.202400325" TargetMode="External"/><Relationship Id="rId27" Type="http://schemas.openxmlformats.org/officeDocument/2006/relationships/hyperlink" Target="https://doi.org/10.1080/00397911.2023.2259518" TargetMode="External"/><Relationship Id="rId30" Type="http://schemas.openxmlformats.org/officeDocument/2006/relationships/hyperlink" Target="https://doi.org/10.1039/d3ob01673k" TargetMode="External"/><Relationship Id="rId35" Type="http://schemas.openxmlformats.org/officeDocument/2006/relationships/hyperlink" Target="https://doi.org/10.1080/00397911.2023.2259518" TargetMode="External"/><Relationship Id="rId43" Type="http://schemas.openxmlformats.org/officeDocument/2006/relationships/hyperlink" Target="https://doi.org/10.1002/slct.202400325" TargetMode="External"/><Relationship Id="rId48" Type="http://schemas.openxmlformats.org/officeDocument/2006/relationships/hyperlink" Target="https://doi.org/10.1021/jo500292m" TargetMode="External"/><Relationship Id="rId56" Type="http://schemas.openxmlformats.org/officeDocument/2006/relationships/hyperlink" Target="https://doi.org/10.1016/j.bmc.2017.05.015" TargetMode="External"/><Relationship Id="rId8" Type="http://schemas.openxmlformats.org/officeDocument/2006/relationships/hyperlink" Target="https://doi.org/10.1021/jm301646k" TargetMode="External"/><Relationship Id="rId51" Type="http://schemas.openxmlformats.org/officeDocument/2006/relationships/hyperlink" Target="https://doi.org/10.1111/cbdd.13039" TargetMode="External"/><Relationship Id="rId3" Type="http://schemas.openxmlformats.org/officeDocument/2006/relationships/hyperlink" Target="https://doi.org/10.1021/jo0349375" TargetMode="External"/><Relationship Id="rId12" Type="http://schemas.openxmlformats.org/officeDocument/2006/relationships/hyperlink" Target="https://doi.org/10.1039/C1CY00108F" TargetMode="External"/><Relationship Id="rId17" Type="http://schemas.openxmlformats.org/officeDocument/2006/relationships/hyperlink" Target="https://scifinder-n.cas.org/navigate/?appId=21e4fd51-104b-4849-8e9f-7a9ebd7a0e9c&amp;backKey=66b1b9ebbee6051fc9ee07db&amp;backToPage=1&amp;cidValue=816&amp;groupOrdinal=1&amp;groupViewContextIndicator=false&amp;isFromAllResults=false&amp;isFromAlternateReactionSteps=false&amp;isFromReactionGroup=false&amp;key=66b1b9ebbee6051fc9ee07db&amp;metricsOrdinal=1&amp;ordinal=1&amp;resultType=reaction&amp;resultView=DETAIL&amp;state=searchDetail.reaction&amp;suppressNavigation=false&amp;uiContext=366&amp;uiSubContext=551&amp;uriForDetails=multistep-reaction%2Fab0bcf53-94f7-53c7-98bb-a56e48858b5d&amp;uriForGroup=substance%2Fpt%2F100469%2Bsubstance%2Fpt%2F65850-%3Esubstance%2Fpt%2F1485707" TargetMode="External"/><Relationship Id="rId25" Type="http://schemas.openxmlformats.org/officeDocument/2006/relationships/hyperlink" Target="https://doi.org/10.1039/D3QO01705B" TargetMode="External"/><Relationship Id="rId33" Type="http://schemas.openxmlformats.org/officeDocument/2006/relationships/hyperlink" Target="https://doi.org/10.1080/00397911.2023.2259518" TargetMode="External"/><Relationship Id="rId38" Type="http://schemas.openxmlformats.org/officeDocument/2006/relationships/hyperlink" Target="https://doi.org/10.1021/acs.orglett.0c03184" TargetMode="External"/><Relationship Id="rId46" Type="http://schemas.openxmlformats.org/officeDocument/2006/relationships/hyperlink" Target="https://doi.org/10.1002/anie.202500897" TargetMode="External"/><Relationship Id="rId59" Type="http://schemas.openxmlformats.org/officeDocument/2006/relationships/hyperlink" Target="https://doi.org/10.1021/jm200256g" TargetMode="External"/><Relationship Id="rId20" Type="http://schemas.openxmlformats.org/officeDocument/2006/relationships/hyperlink" Target="https://doi.org/10.14233/ajchem.2014.15551" TargetMode="External"/><Relationship Id="rId41" Type="http://schemas.openxmlformats.org/officeDocument/2006/relationships/hyperlink" Target="https://doi.org/10.1021/acs.orglett.0c03184" TargetMode="External"/><Relationship Id="rId54" Type="http://schemas.openxmlformats.org/officeDocument/2006/relationships/hyperlink" Target="https://doi.org/10.1021/jo500292m" TargetMode="External"/><Relationship Id="rId62" Type="http://schemas.openxmlformats.org/officeDocument/2006/relationships/hyperlink" Target="https://pubs.acs.org/doi/10.1021/acs.orglett.0c01676?goto=supporting-info" TargetMode="External"/><Relationship Id="rId1" Type="http://schemas.openxmlformats.org/officeDocument/2006/relationships/hyperlink" Target="https://doi.org/10.1039/C2CC31735D" TargetMode="External"/><Relationship Id="rId6" Type="http://schemas.openxmlformats.org/officeDocument/2006/relationships/hyperlink" Target="https://doi.org/10.1002/1521-3765(20010302)7:5%3C1014::AID-CHEM1014%3E3.0.CO;2-X" TargetMode="External"/><Relationship Id="rId15" Type="http://schemas.openxmlformats.org/officeDocument/2006/relationships/hyperlink" Target="https://doi.org/10.1021/jm301646k" TargetMode="External"/><Relationship Id="rId23" Type="http://schemas.openxmlformats.org/officeDocument/2006/relationships/hyperlink" Target="https://pubs.acs.org/doi/10.1021/acs.orglett.0c01676?goto=supporting-info" TargetMode="External"/><Relationship Id="rId28" Type="http://schemas.openxmlformats.org/officeDocument/2006/relationships/hyperlink" Target="https://doi.org/10.1039/d3ob01673k" TargetMode="External"/><Relationship Id="rId36" Type="http://schemas.openxmlformats.org/officeDocument/2006/relationships/hyperlink" Target="https://doi.org/10.1080/00397911.2023.2259518" TargetMode="External"/><Relationship Id="rId49" Type="http://schemas.openxmlformats.org/officeDocument/2006/relationships/hyperlink" Target="https://doi.org/10.3109/14756366.2010.543419" TargetMode="External"/><Relationship Id="rId57" Type="http://schemas.openxmlformats.org/officeDocument/2006/relationships/hyperlink" Target="https://doi.org/10.1016/j.tet.2008.09.094" TargetMode="External"/><Relationship Id="rId10" Type="http://schemas.openxmlformats.org/officeDocument/2006/relationships/hyperlink" Target="https://doi.org/10.1111/cbdd.13315" TargetMode="External"/><Relationship Id="rId31" Type="http://schemas.openxmlformats.org/officeDocument/2006/relationships/hyperlink" Target="https://doi.org/10.1039/d3ob01673k" TargetMode="External"/><Relationship Id="rId44" Type="http://schemas.openxmlformats.org/officeDocument/2006/relationships/hyperlink" Target="https://doi.org/10.1002/slct.202400325" TargetMode="External"/><Relationship Id="rId52" Type="http://schemas.openxmlformats.org/officeDocument/2006/relationships/hyperlink" Target="https://doi.org/10.1021/jo500292m" TargetMode="External"/><Relationship Id="rId60" Type="http://schemas.openxmlformats.org/officeDocument/2006/relationships/hyperlink" Target="https://pubs.acs.org/doi/10.1021/acs.orglett.0c01676?goto=supporting-info" TargetMode="External"/><Relationship Id="rId4" Type="http://schemas.openxmlformats.org/officeDocument/2006/relationships/hyperlink" Target="https://doi.org/10.1002/ejoc.202100355" TargetMode="External"/><Relationship Id="rId9" Type="http://schemas.openxmlformats.org/officeDocument/2006/relationships/hyperlink" Target="https://doi.org/10.1016/j.tet.2008.09.094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9/C0CC01301C" TargetMode="External"/><Relationship Id="rId18" Type="http://schemas.openxmlformats.org/officeDocument/2006/relationships/hyperlink" Target="https://scifinder-n.cas.org/navigate/?appId=877448e8-e745-4ef5-824a-0ecc16070d48&amp;backKey=66b11619990d45148cc9823a&amp;backToPage=1&amp;cidValue=816&amp;groupOrdinal=1&amp;groupViewContextIndicator=false&amp;isFromAllResults=false&amp;isFromAlternateReactionSteps=false&amp;isFromReactionGroup=false&amp;key=66b11619990d45148cc9823a&amp;metricsOrdinal=1&amp;ordinal=3&amp;resultType=reaction&amp;resultView=DETAIL&amp;state=searchDetail.reaction&amp;suppressNavigation=false&amp;uiContext=366&amp;uiSubContext=551&amp;uriForDetails=multistep-reaction%2Fdfdbd187-388c-5cd3-8d25-6f2371c3b7a2&amp;uriForGroup=substance%2Fpt%2F100469%2Bsubstance%2Fpt%2F65850-%3Esubstance%2Fpt%2F1485707" TargetMode="External"/><Relationship Id="rId26" Type="http://schemas.openxmlformats.org/officeDocument/2006/relationships/hyperlink" Target="https://doi.org/10.1039/D3QO01705B" TargetMode="External"/><Relationship Id="rId39" Type="http://schemas.openxmlformats.org/officeDocument/2006/relationships/hyperlink" Target="https://doi.org/10.1021/acs.orglett.0c03184" TargetMode="External"/><Relationship Id="rId21" Type="http://schemas.openxmlformats.org/officeDocument/2006/relationships/hyperlink" Target="https://doi.org/10.1016/j.bmcl.2004.11.033" TargetMode="External"/><Relationship Id="rId34" Type="http://schemas.openxmlformats.org/officeDocument/2006/relationships/hyperlink" Target="https://doi.org/10.1080/00397911.2023.2259518" TargetMode="External"/><Relationship Id="rId42" Type="http://schemas.openxmlformats.org/officeDocument/2006/relationships/hyperlink" Target="https://doi.org/10.1002/slct.202400325" TargetMode="External"/><Relationship Id="rId47" Type="http://schemas.openxmlformats.org/officeDocument/2006/relationships/hyperlink" Target="https://doi.org/10.1111/cbdd.13039" TargetMode="External"/><Relationship Id="rId50" Type="http://schemas.openxmlformats.org/officeDocument/2006/relationships/hyperlink" Target="https://doi.org/10.1016/j.tet.2008.09.094" TargetMode="External"/><Relationship Id="rId55" Type="http://schemas.openxmlformats.org/officeDocument/2006/relationships/hyperlink" Target="https://doi.org/10.1021/acsomega.7b00523" TargetMode="External"/><Relationship Id="rId7" Type="http://schemas.openxmlformats.org/officeDocument/2006/relationships/hyperlink" Target="https://doi.org/10.1111/cbdd.13039" TargetMode="External"/><Relationship Id="rId2" Type="http://schemas.openxmlformats.org/officeDocument/2006/relationships/hyperlink" Target="https://doi.org/10.1021/acsomega.0c06053" TargetMode="External"/><Relationship Id="rId16" Type="http://schemas.openxmlformats.org/officeDocument/2006/relationships/hyperlink" Target="https://doi.org/10.1021/ol062227q" TargetMode="External"/><Relationship Id="rId29" Type="http://schemas.openxmlformats.org/officeDocument/2006/relationships/hyperlink" Target="https://doi.org/10.1039/d3ob01673k" TargetMode="External"/><Relationship Id="rId11" Type="http://schemas.openxmlformats.org/officeDocument/2006/relationships/hyperlink" Target="https://doi.org/10.1021/acsomega.7b00523" TargetMode="External"/><Relationship Id="rId24" Type="http://schemas.openxmlformats.org/officeDocument/2006/relationships/hyperlink" Target="https://pubs.acs.org/doi/10.1021/acs.orglett.0c01676?goto=supporting-info" TargetMode="External"/><Relationship Id="rId32" Type="http://schemas.openxmlformats.org/officeDocument/2006/relationships/hyperlink" Target="https://doi.org/10.1039/d3ob01673k" TargetMode="External"/><Relationship Id="rId37" Type="http://schemas.openxmlformats.org/officeDocument/2006/relationships/hyperlink" Target="https://doi.org/10.1021/acs.orglett.0c03184" TargetMode="External"/><Relationship Id="rId40" Type="http://schemas.openxmlformats.org/officeDocument/2006/relationships/hyperlink" Target="https://doi.org/10.1021/acs.orglett.0c03184" TargetMode="External"/><Relationship Id="rId45" Type="http://schemas.openxmlformats.org/officeDocument/2006/relationships/hyperlink" Target="https://doi.org/10.1002/slct.202400325" TargetMode="External"/><Relationship Id="rId53" Type="http://schemas.openxmlformats.org/officeDocument/2006/relationships/hyperlink" Target="https://doi.org/10.1021/jm991076c" TargetMode="External"/><Relationship Id="rId5" Type="http://schemas.openxmlformats.org/officeDocument/2006/relationships/hyperlink" Target="https://doi.org/10.1002/chem.201002202" TargetMode="External"/><Relationship Id="rId19" Type="http://schemas.openxmlformats.org/officeDocument/2006/relationships/hyperlink" Target="https://doi.org/10.1016/j.ejmech.2015.08.025" TargetMode="External"/><Relationship Id="rId4" Type="http://schemas.openxmlformats.org/officeDocument/2006/relationships/hyperlink" Target="https://doi.org/10.1002/ejoc.202100355" TargetMode="External"/><Relationship Id="rId9" Type="http://schemas.openxmlformats.org/officeDocument/2006/relationships/hyperlink" Target="https://doi.org/10.1016/j.tet.2008.09.094" TargetMode="External"/><Relationship Id="rId14" Type="http://schemas.openxmlformats.org/officeDocument/2006/relationships/hyperlink" Target="https://doi.org/10.1021/acs.jmedchem.8b00673" TargetMode="External"/><Relationship Id="rId22" Type="http://schemas.openxmlformats.org/officeDocument/2006/relationships/hyperlink" Target="https://doi.org/10.1002/slct.202400325" TargetMode="External"/><Relationship Id="rId27" Type="http://schemas.openxmlformats.org/officeDocument/2006/relationships/hyperlink" Target="https://doi.org/10.1080/00397911.2023.2259518" TargetMode="External"/><Relationship Id="rId30" Type="http://schemas.openxmlformats.org/officeDocument/2006/relationships/hyperlink" Target="https://doi.org/10.1039/d3ob01673k" TargetMode="External"/><Relationship Id="rId35" Type="http://schemas.openxmlformats.org/officeDocument/2006/relationships/hyperlink" Target="https://doi.org/10.1080/00397911.2023.2259518" TargetMode="External"/><Relationship Id="rId43" Type="http://schemas.openxmlformats.org/officeDocument/2006/relationships/hyperlink" Target="https://doi.org/10.1002/slct.202400325" TargetMode="External"/><Relationship Id="rId48" Type="http://schemas.openxmlformats.org/officeDocument/2006/relationships/hyperlink" Target="https://doi.org/10.1021/jo500292m" TargetMode="External"/><Relationship Id="rId56" Type="http://schemas.openxmlformats.org/officeDocument/2006/relationships/hyperlink" Target="https://doi.org/10.1016/j.bmc.2017.05.015" TargetMode="External"/><Relationship Id="rId8" Type="http://schemas.openxmlformats.org/officeDocument/2006/relationships/hyperlink" Target="https://doi.org/10.1021/jm301646k" TargetMode="External"/><Relationship Id="rId51" Type="http://schemas.openxmlformats.org/officeDocument/2006/relationships/hyperlink" Target="https://doi.org/10.1111/cbdd.13039" TargetMode="External"/><Relationship Id="rId3" Type="http://schemas.openxmlformats.org/officeDocument/2006/relationships/hyperlink" Target="https://doi.org/10.1021/jo0349375" TargetMode="External"/><Relationship Id="rId12" Type="http://schemas.openxmlformats.org/officeDocument/2006/relationships/hyperlink" Target="https://doi.org/10.1039/C1CY00108F" TargetMode="External"/><Relationship Id="rId17" Type="http://schemas.openxmlformats.org/officeDocument/2006/relationships/hyperlink" Target="https://scifinder-n.cas.org/navigate/?appId=21e4fd51-104b-4849-8e9f-7a9ebd7a0e9c&amp;backKey=66b1b9ebbee6051fc9ee07db&amp;backToPage=1&amp;cidValue=816&amp;groupOrdinal=1&amp;groupViewContextIndicator=false&amp;isFromAllResults=false&amp;isFromAlternateReactionSteps=false&amp;isFromReactionGroup=false&amp;key=66b1b9ebbee6051fc9ee07db&amp;metricsOrdinal=1&amp;ordinal=1&amp;resultType=reaction&amp;resultView=DETAIL&amp;state=searchDetail.reaction&amp;suppressNavigation=false&amp;uiContext=366&amp;uiSubContext=551&amp;uriForDetails=multistep-reaction%2Fab0bcf53-94f7-53c7-98bb-a56e48858b5d&amp;uriForGroup=substance%2Fpt%2F100469%2Bsubstance%2Fpt%2F65850-%3Esubstance%2Fpt%2F1485707" TargetMode="External"/><Relationship Id="rId25" Type="http://schemas.openxmlformats.org/officeDocument/2006/relationships/hyperlink" Target="https://doi.org/10.1039/D3QO01705B" TargetMode="External"/><Relationship Id="rId33" Type="http://schemas.openxmlformats.org/officeDocument/2006/relationships/hyperlink" Target="https://doi.org/10.1080/00397911.2023.2259518" TargetMode="External"/><Relationship Id="rId38" Type="http://schemas.openxmlformats.org/officeDocument/2006/relationships/hyperlink" Target="https://doi.org/10.1021/acs.orglett.0c03184" TargetMode="External"/><Relationship Id="rId46" Type="http://schemas.openxmlformats.org/officeDocument/2006/relationships/hyperlink" Target="https://doi.org/10.1002/anie.202500897" TargetMode="External"/><Relationship Id="rId20" Type="http://schemas.openxmlformats.org/officeDocument/2006/relationships/hyperlink" Target="https://doi.org/10.14233/ajchem.2014.15551" TargetMode="External"/><Relationship Id="rId41" Type="http://schemas.openxmlformats.org/officeDocument/2006/relationships/hyperlink" Target="https://doi.org/10.1021/acs.orglett.0c03184" TargetMode="External"/><Relationship Id="rId54" Type="http://schemas.openxmlformats.org/officeDocument/2006/relationships/hyperlink" Target="https://doi.org/10.1021/jo500292m" TargetMode="External"/><Relationship Id="rId1" Type="http://schemas.openxmlformats.org/officeDocument/2006/relationships/hyperlink" Target="https://doi.org/10.1039/C2CC31735D" TargetMode="External"/><Relationship Id="rId6" Type="http://schemas.openxmlformats.org/officeDocument/2006/relationships/hyperlink" Target="https://doi.org/10.1002/1521-3765(20010302)7:5%3C1014::AID-CHEM1014%3E3.0.CO;2-X" TargetMode="External"/><Relationship Id="rId15" Type="http://schemas.openxmlformats.org/officeDocument/2006/relationships/hyperlink" Target="https://doi.org/10.1021/jm301646k" TargetMode="External"/><Relationship Id="rId23" Type="http://schemas.openxmlformats.org/officeDocument/2006/relationships/hyperlink" Target="https://pubs.acs.org/doi/10.1021/acs.orglett.0c01676?goto=supporting-info" TargetMode="External"/><Relationship Id="rId28" Type="http://schemas.openxmlformats.org/officeDocument/2006/relationships/hyperlink" Target="https://doi.org/10.1039/d3ob01673k" TargetMode="External"/><Relationship Id="rId36" Type="http://schemas.openxmlformats.org/officeDocument/2006/relationships/hyperlink" Target="https://doi.org/10.1080/00397911.2023.2259518" TargetMode="External"/><Relationship Id="rId49" Type="http://schemas.openxmlformats.org/officeDocument/2006/relationships/hyperlink" Target="https://doi.org/10.3109/14756366.2010.543419" TargetMode="External"/><Relationship Id="rId57" Type="http://schemas.openxmlformats.org/officeDocument/2006/relationships/hyperlink" Target="https://doi.org/10.1016/j.tet.2008.09.094" TargetMode="External"/><Relationship Id="rId10" Type="http://schemas.openxmlformats.org/officeDocument/2006/relationships/hyperlink" Target="https://doi.org/10.1111/cbdd.13315" TargetMode="External"/><Relationship Id="rId31" Type="http://schemas.openxmlformats.org/officeDocument/2006/relationships/hyperlink" Target="https://doi.org/10.1039/d3ob01673k" TargetMode="External"/><Relationship Id="rId44" Type="http://schemas.openxmlformats.org/officeDocument/2006/relationships/hyperlink" Target="https://doi.org/10.1002/slct.202400325" TargetMode="External"/><Relationship Id="rId52" Type="http://schemas.openxmlformats.org/officeDocument/2006/relationships/hyperlink" Target="https://doi.org/10.1021/jo500292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9/C0CC01301C" TargetMode="External"/><Relationship Id="rId18" Type="http://schemas.openxmlformats.org/officeDocument/2006/relationships/hyperlink" Target="https://scifinder-n.cas.org/navigate/?appId=877448e8-e745-4ef5-824a-0ecc16070d48&amp;backKey=66b11619990d45148cc9823a&amp;backToPage=1&amp;cidValue=816&amp;groupOrdinal=1&amp;groupViewContextIndicator=false&amp;isFromAllResults=false&amp;isFromAlternateReactionSteps=false&amp;isFromReactionGroup=false&amp;key=66b11619990d45148cc9823a&amp;metricsOrdinal=1&amp;ordinal=3&amp;resultType=reaction&amp;resultView=DETAIL&amp;state=searchDetail.reaction&amp;suppressNavigation=false&amp;uiContext=366&amp;uiSubContext=551&amp;uriForDetails=multistep-reaction%2Fdfdbd187-388c-5cd3-8d25-6f2371c3b7a2&amp;uriForGroup=substance%2Fpt%2F100469%2Bsubstance%2Fpt%2F65850-%3Esubstance%2Fpt%2F1485707" TargetMode="External"/><Relationship Id="rId26" Type="http://schemas.openxmlformats.org/officeDocument/2006/relationships/hyperlink" Target="https://doi.org/10.1039/D3QO01705B" TargetMode="External"/><Relationship Id="rId39" Type="http://schemas.openxmlformats.org/officeDocument/2006/relationships/hyperlink" Target="https://doi.org/10.1021/acs.orglett.0c03184" TargetMode="External"/><Relationship Id="rId21" Type="http://schemas.openxmlformats.org/officeDocument/2006/relationships/hyperlink" Target="https://doi.org/10.1016/j.bmcl.2004.11.033" TargetMode="External"/><Relationship Id="rId34" Type="http://schemas.openxmlformats.org/officeDocument/2006/relationships/hyperlink" Target="https://doi.org/10.1080/00397911.2023.2259518" TargetMode="External"/><Relationship Id="rId42" Type="http://schemas.openxmlformats.org/officeDocument/2006/relationships/hyperlink" Target="https://doi.org/10.1002/slct.202400325" TargetMode="External"/><Relationship Id="rId47" Type="http://schemas.openxmlformats.org/officeDocument/2006/relationships/hyperlink" Target="https://doi.org/10.1002/anie.202500897" TargetMode="External"/><Relationship Id="rId50" Type="http://schemas.openxmlformats.org/officeDocument/2006/relationships/hyperlink" Target="https://doi.org/10.3109/14756366.2010.543419" TargetMode="External"/><Relationship Id="rId55" Type="http://schemas.openxmlformats.org/officeDocument/2006/relationships/hyperlink" Target="https://doi.org/10.1021/jo500292m" TargetMode="External"/><Relationship Id="rId7" Type="http://schemas.openxmlformats.org/officeDocument/2006/relationships/hyperlink" Target="https://doi.org/10.1111/cbdd.13039" TargetMode="External"/><Relationship Id="rId2" Type="http://schemas.openxmlformats.org/officeDocument/2006/relationships/hyperlink" Target="https://doi.org/10.1021/acsomega.0c06053" TargetMode="External"/><Relationship Id="rId16" Type="http://schemas.openxmlformats.org/officeDocument/2006/relationships/hyperlink" Target="https://doi.org/10.1021/ol062227q" TargetMode="External"/><Relationship Id="rId29" Type="http://schemas.openxmlformats.org/officeDocument/2006/relationships/hyperlink" Target="https://doi.org/10.1039/d3ob01673k" TargetMode="External"/><Relationship Id="rId11" Type="http://schemas.openxmlformats.org/officeDocument/2006/relationships/hyperlink" Target="https://doi.org/10.1021/acsomega.7b00523" TargetMode="External"/><Relationship Id="rId24" Type="http://schemas.openxmlformats.org/officeDocument/2006/relationships/hyperlink" Target="https://pubs.acs.org/doi/10.1021/acs.orglett.0c01676?goto=supporting-info" TargetMode="External"/><Relationship Id="rId32" Type="http://schemas.openxmlformats.org/officeDocument/2006/relationships/hyperlink" Target="https://doi.org/10.1039/d3ob01673k" TargetMode="External"/><Relationship Id="rId37" Type="http://schemas.openxmlformats.org/officeDocument/2006/relationships/hyperlink" Target="https://doi.org/10.1021/acs.orglett.0c03184" TargetMode="External"/><Relationship Id="rId40" Type="http://schemas.openxmlformats.org/officeDocument/2006/relationships/hyperlink" Target="https://doi.org/10.1021/acs.orglett.0c03184" TargetMode="External"/><Relationship Id="rId45" Type="http://schemas.openxmlformats.org/officeDocument/2006/relationships/hyperlink" Target="https://doi.org/10.1002/slct.202400325" TargetMode="External"/><Relationship Id="rId53" Type="http://schemas.openxmlformats.org/officeDocument/2006/relationships/hyperlink" Target="https://doi.org/10.1021/jo500292m" TargetMode="External"/><Relationship Id="rId5" Type="http://schemas.openxmlformats.org/officeDocument/2006/relationships/hyperlink" Target="https://doi.org/10.1002/chem.201002202" TargetMode="External"/><Relationship Id="rId19" Type="http://schemas.openxmlformats.org/officeDocument/2006/relationships/hyperlink" Target="https://doi.org/10.1016/j.ejmech.2015.08.025" TargetMode="External"/><Relationship Id="rId4" Type="http://schemas.openxmlformats.org/officeDocument/2006/relationships/hyperlink" Target="https://doi.org/10.1002/ejoc.202100355" TargetMode="External"/><Relationship Id="rId9" Type="http://schemas.openxmlformats.org/officeDocument/2006/relationships/hyperlink" Target="https://doi.org/10.1016/j.tet.2008.09.094" TargetMode="External"/><Relationship Id="rId14" Type="http://schemas.openxmlformats.org/officeDocument/2006/relationships/hyperlink" Target="https://doi.org/10.1021/acs.jmedchem.8b00673" TargetMode="External"/><Relationship Id="rId22" Type="http://schemas.openxmlformats.org/officeDocument/2006/relationships/hyperlink" Target="https://doi.org/10.1002/slct.202400325" TargetMode="External"/><Relationship Id="rId27" Type="http://schemas.openxmlformats.org/officeDocument/2006/relationships/hyperlink" Target="https://doi.org/10.1080/00397911.2023.2259518" TargetMode="External"/><Relationship Id="rId30" Type="http://schemas.openxmlformats.org/officeDocument/2006/relationships/hyperlink" Target="https://doi.org/10.1039/d3ob01673k" TargetMode="External"/><Relationship Id="rId35" Type="http://schemas.openxmlformats.org/officeDocument/2006/relationships/hyperlink" Target="https://doi.org/10.1080/00397911.2023.2259518" TargetMode="External"/><Relationship Id="rId43" Type="http://schemas.openxmlformats.org/officeDocument/2006/relationships/hyperlink" Target="https://doi.org/10.1002/slct.202400325" TargetMode="External"/><Relationship Id="rId48" Type="http://schemas.openxmlformats.org/officeDocument/2006/relationships/hyperlink" Target="https://doi.org/10.1111/cbdd.13039" TargetMode="External"/><Relationship Id="rId56" Type="http://schemas.openxmlformats.org/officeDocument/2006/relationships/hyperlink" Target="https://doi.org/10.1016/j.ejmech.2023.116101" TargetMode="External"/><Relationship Id="rId8" Type="http://schemas.openxmlformats.org/officeDocument/2006/relationships/hyperlink" Target="https://doi.org/10.1021/jm301646k" TargetMode="External"/><Relationship Id="rId51" Type="http://schemas.openxmlformats.org/officeDocument/2006/relationships/hyperlink" Target="https://doi.org/10.1016/j.tet.2008.09.094" TargetMode="External"/><Relationship Id="rId3" Type="http://schemas.openxmlformats.org/officeDocument/2006/relationships/hyperlink" Target="https://doi.org/10.1021/jo0349375" TargetMode="External"/><Relationship Id="rId12" Type="http://schemas.openxmlformats.org/officeDocument/2006/relationships/hyperlink" Target="https://doi.org/10.1039/C1CY00108F" TargetMode="External"/><Relationship Id="rId17" Type="http://schemas.openxmlformats.org/officeDocument/2006/relationships/hyperlink" Target="https://scifinder-n.cas.org/navigate/?appId=21e4fd51-104b-4849-8e9f-7a9ebd7a0e9c&amp;backKey=66b1b9ebbee6051fc9ee07db&amp;backToPage=1&amp;cidValue=816&amp;groupOrdinal=1&amp;groupViewContextIndicator=false&amp;isFromAllResults=false&amp;isFromAlternateReactionSteps=false&amp;isFromReactionGroup=false&amp;key=66b1b9ebbee6051fc9ee07db&amp;metricsOrdinal=1&amp;ordinal=1&amp;resultType=reaction&amp;resultView=DETAIL&amp;state=searchDetail.reaction&amp;suppressNavigation=false&amp;uiContext=366&amp;uiSubContext=551&amp;uriForDetails=multistep-reaction%2Fab0bcf53-94f7-53c7-98bb-a56e48858b5d&amp;uriForGroup=substance%2Fpt%2F100469%2Bsubstance%2Fpt%2F65850-%3Esubstance%2Fpt%2F1485707" TargetMode="External"/><Relationship Id="rId25" Type="http://schemas.openxmlformats.org/officeDocument/2006/relationships/hyperlink" Target="https://doi.org/10.1039/D3QO01705B" TargetMode="External"/><Relationship Id="rId33" Type="http://schemas.openxmlformats.org/officeDocument/2006/relationships/hyperlink" Target="https://doi.org/10.1080/00397911.2023.2259518" TargetMode="External"/><Relationship Id="rId38" Type="http://schemas.openxmlformats.org/officeDocument/2006/relationships/hyperlink" Target="https://doi.org/10.1021/acs.orglett.0c03184" TargetMode="External"/><Relationship Id="rId46" Type="http://schemas.openxmlformats.org/officeDocument/2006/relationships/hyperlink" Target="https://doi.org/10.1016/j.tet.2008.09.094" TargetMode="External"/><Relationship Id="rId20" Type="http://schemas.openxmlformats.org/officeDocument/2006/relationships/hyperlink" Target="https://doi.org/10.14233/ajchem.2014.15551" TargetMode="External"/><Relationship Id="rId41" Type="http://schemas.openxmlformats.org/officeDocument/2006/relationships/hyperlink" Target="https://doi.org/10.1021/acs.orglett.0c03184" TargetMode="External"/><Relationship Id="rId54" Type="http://schemas.openxmlformats.org/officeDocument/2006/relationships/hyperlink" Target="https://doi.org/10.1021/jm991076c" TargetMode="External"/><Relationship Id="rId1" Type="http://schemas.openxmlformats.org/officeDocument/2006/relationships/hyperlink" Target="https://doi.org/10.1039/C2CC31735D" TargetMode="External"/><Relationship Id="rId6" Type="http://schemas.openxmlformats.org/officeDocument/2006/relationships/hyperlink" Target="https://doi.org/10.1002/1521-3765(20010302)7:5%3C1014::AID-CHEM1014%3E3.0.CO;2-X" TargetMode="External"/><Relationship Id="rId15" Type="http://schemas.openxmlformats.org/officeDocument/2006/relationships/hyperlink" Target="https://doi.org/10.1021/jm301646k" TargetMode="External"/><Relationship Id="rId23" Type="http://schemas.openxmlformats.org/officeDocument/2006/relationships/hyperlink" Target="https://pubs.acs.org/doi/10.1021/acs.orglett.0c01676?goto=supporting-info" TargetMode="External"/><Relationship Id="rId28" Type="http://schemas.openxmlformats.org/officeDocument/2006/relationships/hyperlink" Target="https://doi.org/10.1039/d3ob01673k" TargetMode="External"/><Relationship Id="rId36" Type="http://schemas.openxmlformats.org/officeDocument/2006/relationships/hyperlink" Target="https://doi.org/10.1080/00397911.2023.2259518" TargetMode="External"/><Relationship Id="rId49" Type="http://schemas.openxmlformats.org/officeDocument/2006/relationships/hyperlink" Target="https://doi.org/10.1021/jo500292m" TargetMode="External"/><Relationship Id="rId57" Type="http://schemas.openxmlformats.org/officeDocument/2006/relationships/hyperlink" Target="https://doi.org/10.1021/jm200256g" TargetMode="External"/><Relationship Id="rId10" Type="http://schemas.openxmlformats.org/officeDocument/2006/relationships/hyperlink" Target="https://doi.org/10.1111/cbdd.13315" TargetMode="External"/><Relationship Id="rId31" Type="http://schemas.openxmlformats.org/officeDocument/2006/relationships/hyperlink" Target="https://doi.org/10.1039/d3ob01673k" TargetMode="External"/><Relationship Id="rId44" Type="http://schemas.openxmlformats.org/officeDocument/2006/relationships/hyperlink" Target="https://doi.org/10.1002/slct.202400325" TargetMode="External"/><Relationship Id="rId52" Type="http://schemas.openxmlformats.org/officeDocument/2006/relationships/hyperlink" Target="https://doi.org/10.1111/cbdd.13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0"/>
  <sheetViews>
    <sheetView tabSelected="1" topLeftCell="N1" zoomScale="110" zoomScaleNormal="110" workbookViewId="0">
      <pane ySplit="1" topLeftCell="A190" activePane="bottomLeft" state="frozen"/>
      <selection pane="bottomLeft" activeCell="R2" sqref="R2:R201"/>
    </sheetView>
  </sheetViews>
  <sheetFormatPr baseColWidth="10" defaultColWidth="8.83203125" defaultRowHeight="16"/>
  <cols>
    <col min="1" max="1" width="98.1640625" style="38" bestFit="1" customWidth="1"/>
    <col min="2" max="2" width="76.83203125" style="32" bestFit="1" customWidth="1"/>
    <col min="3" max="3" width="13" style="32" bestFit="1" customWidth="1"/>
    <col min="4" max="4" width="62" style="38" bestFit="1" customWidth="1"/>
    <col min="5" max="5" width="54.6640625" style="10" bestFit="1" customWidth="1"/>
    <col min="6" max="6" width="14.83203125" style="38" bestFit="1" customWidth="1"/>
    <col min="7" max="7" width="59.6640625" style="32" bestFit="1" customWidth="1"/>
    <col min="8" max="8" width="212.33203125" style="35" bestFit="1" customWidth="1"/>
    <col min="9" max="9" width="17.6640625" style="32" bestFit="1" customWidth="1"/>
    <col min="10" max="10" width="34.5" style="38" bestFit="1" customWidth="1"/>
    <col min="11" max="11" width="106.83203125" style="33" bestFit="1" customWidth="1"/>
    <col min="12" max="12" width="13.6640625" style="32" bestFit="1" customWidth="1"/>
    <col min="13" max="13" width="25.33203125" style="32" bestFit="1" customWidth="1"/>
    <col min="14" max="14" width="160.1640625" style="15" bestFit="1" customWidth="1"/>
    <col min="15" max="15" width="16.33203125" style="32" bestFit="1" customWidth="1"/>
    <col min="16" max="16" width="9.83203125" style="28" bestFit="1" customWidth="1"/>
    <col min="17" max="17" width="14" bestFit="1" customWidth="1"/>
    <col min="18" max="18" width="15.5" style="38" bestFit="1" customWidth="1"/>
    <col min="19" max="19" width="103.1640625" style="38" bestFit="1" customWidth="1"/>
    <col min="20" max="16384" width="8.83203125" style="96"/>
  </cols>
  <sheetData>
    <row r="1" spans="1:19">
      <c r="A1" s="25" t="s">
        <v>0</v>
      </c>
      <c r="B1" s="25" t="s">
        <v>575</v>
      </c>
      <c r="C1" s="13" t="s">
        <v>1</v>
      </c>
      <c r="D1" s="25" t="s">
        <v>2</v>
      </c>
      <c r="E1" s="25" t="s">
        <v>576</v>
      </c>
      <c r="F1" s="25" t="s">
        <v>3</v>
      </c>
      <c r="G1" s="13" t="s">
        <v>4</v>
      </c>
      <c r="H1" s="25" t="s">
        <v>577</v>
      </c>
      <c r="I1" s="13" t="s">
        <v>5</v>
      </c>
      <c r="J1" s="25" t="s">
        <v>6</v>
      </c>
      <c r="K1" s="13" t="s">
        <v>578</v>
      </c>
      <c r="L1" s="13" t="s">
        <v>7</v>
      </c>
      <c r="M1" s="13" t="s">
        <v>8</v>
      </c>
      <c r="N1" s="13" t="s">
        <v>579</v>
      </c>
      <c r="O1" s="13" t="s">
        <v>9</v>
      </c>
      <c r="P1" s="7" t="s">
        <v>10</v>
      </c>
      <c r="Q1" s="8" t="s">
        <v>11</v>
      </c>
      <c r="R1" s="52" t="s">
        <v>217</v>
      </c>
      <c r="S1" s="13" t="s">
        <v>12</v>
      </c>
    </row>
    <row r="2" spans="1:19">
      <c r="A2" s="10" t="s">
        <v>13</v>
      </c>
      <c r="B2" s="94" t="s">
        <v>365</v>
      </c>
      <c r="C2" s="15">
        <v>1</v>
      </c>
      <c r="D2" s="10" t="s">
        <v>14</v>
      </c>
      <c r="E2" s="10" t="s">
        <v>382</v>
      </c>
      <c r="F2" s="10">
        <v>1.1000000000000001</v>
      </c>
      <c r="G2" s="15" t="s">
        <v>15</v>
      </c>
      <c r="H2" s="15" t="s">
        <v>392</v>
      </c>
      <c r="I2" s="15">
        <v>1.1000000000000001</v>
      </c>
      <c r="J2" s="10" t="s">
        <v>14</v>
      </c>
      <c r="K2" s="15" t="s">
        <v>382</v>
      </c>
      <c r="L2" s="15">
        <v>1</v>
      </c>
      <c r="M2" s="15" t="s">
        <v>16</v>
      </c>
      <c r="N2" s="58" t="s">
        <v>562</v>
      </c>
      <c r="O2" s="15">
        <v>0.6</v>
      </c>
      <c r="P2" s="9">
        <v>25</v>
      </c>
      <c r="Q2" s="1">
        <v>2</v>
      </c>
      <c r="R2" s="10">
        <v>96</v>
      </c>
      <c r="S2" s="15" t="s">
        <v>17</v>
      </c>
    </row>
    <row r="3" spans="1:19">
      <c r="A3" s="10" t="s">
        <v>13</v>
      </c>
      <c r="B3" s="33" t="s">
        <v>365</v>
      </c>
      <c r="C3" s="15">
        <v>1</v>
      </c>
      <c r="D3" s="10" t="s">
        <v>14</v>
      </c>
      <c r="E3" s="10" t="s">
        <v>382</v>
      </c>
      <c r="F3" s="10">
        <v>1.1000000000000001</v>
      </c>
      <c r="G3" s="15" t="s">
        <v>18</v>
      </c>
      <c r="H3" s="14" t="s">
        <v>393</v>
      </c>
      <c r="I3" s="15">
        <v>1.5</v>
      </c>
      <c r="J3" s="10" t="s">
        <v>14</v>
      </c>
      <c r="K3" s="15" t="s">
        <v>382</v>
      </c>
      <c r="L3" s="15">
        <v>1</v>
      </c>
      <c r="M3" s="15" t="s">
        <v>16</v>
      </c>
      <c r="N3" s="58" t="s">
        <v>562</v>
      </c>
      <c r="O3" s="15">
        <v>0.25</v>
      </c>
      <c r="P3" s="9">
        <v>25</v>
      </c>
      <c r="Q3" s="1">
        <v>1.5</v>
      </c>
      <c r="R3" s="10">
        <v>88</v>
      </c>
      <c r="S3" s="15" t="s">
        <v>19</v>
      </c>
    </row>
    <row r="4" spans="1:19">
      <c r="A4" s="10" t="s">
        <v>13</v>
      </c>
      <c r="B4" s="33" t="s">
        <v>365</v>
      </c>
      <c r="C4" s="15">
        <v>1</v>
      </c>
      <c r="D4" s="10" t="s">
        <v>14</v>
      </c>
      <c r="E4" s="10" t="s">
        <v>382</v>
      </c>
      <c r="F4" s="10">
        <v>1.1000000000000001</v>
      </c>
      <c r="G4" s="15" t="s">
        <v>20</v>
      </c>
      <c r="H4" s="59" t="s">
        <v>561</v>
      </c>
      <c r="I4" s="15">
        <v>1.5</v>
      </c>
      <c r="J4" s="10" t="s">
        <v>21</v>
      </c>
      <c r="K4" s="14" t="s">
        <v>380</v>
      </c>
      <c r="L4" s="15">
        <v>2</v>
      </c>
      <c r="M4" s="15" t="s">
        <v>22</v>
      </c>
      <c r="N4" s="58" t="s">
        <v>563</v>
      </c>
      <c r="O4" s="15">
        <v>0.5</v>
      </c>
      <c r="P4" s="9">
        <v>25</v>
      </c>
      <c r="Q4" s="1">
        <v>1</v>
      </c>
      <c r="R4" s="10">
        <v>96</v>
      </c>
      <c r="S4" s="15" t="s">
        <v>23</v>
      </c>
    </row>
    <row r="5" spans="1:19">
      <c r="A5" s="26" t="s">
        <v>57</v>
      </c>
      <c r="B5" s="33" t="s">
        <v>366</v>
      </c>
      <c r="C5" s="15">
        <v>1</v>
      </c>
      <c r="D5" s="10" t="s">
        <v>14</v>
      </c>
      <c r="E5" s="10" t="s">
        <v>382</v>
      </c>
      <c r="F5" s="10">
        <v>1.1000000000000001</v>
      </c>
      <c r="G5" s="15" t="s">
        <v>20</v>
      </c>
      <c r="H5" s="59" t="s">
        <v>561</v>
      </c>
      <c r="I5" s="15">
        <v>1.5</v>
      </c>
      <c r="J5" s="10" t="s">
        <v>24</v>
      </c>
      <c r="K5" s="14" t="s">
        <v>380</v>
      </c>
      <c r="L5" s="15">
        <v>2</v>
      </c>
      <c r="M5" s="15" t="s">
        <v>22</v>
      </c>
      <c r="N5" s="58" t="s">
        <v>563</v>
      </c>
      <c r="O5" s="15">
        <v>0.5</v>
      </c>
      <c r="P5" s="9">
        <v>25</v>
      </c>
      <c r="Q5" s="1">
        <v>16</v>
      </c>
      <c r="R5" s="10">
        <v>90</v>
      </c>
      <c r="S5" s="15" t="s">
        <v>25</v>
      </c>
    </row>
    <row r="6" spans="1:19">
      <c r="A6" s="26" t="s">
        <v>57</v>
      </c>
      <c r="B6" s="33" t="s">
        <v>366</v>
      </c>
      <c r="C6" s="15">
        <v>1</v>
      </c>
      <c r="D6" s="10" t="s">
        <v>14</v>
      </c>
      <c r="E6" s="10" t="s">
        <v>382</v>
      </c>
      <c r="F6" s="10">
        <v>1.1000000000000001</v>
      </c>
      <c r="G6" s="15" t="s">
        <v>20</v>
      </c>
      <c r="H6" s="59" t="s">
        <v>561</v>
      </c>
      <c r="I6" s="15">
        <v>1.5</v>
      </c>
      <c r="J6" s="10" t="s">
        <v>24</v>
      </c>
      <c r="K6" s="14" t="s">
        <v>380</v>
      </c>
      <c r="L6" s="15">
        <v>2</v>
      </c>
      <c r="M6" s="15" t="s">
        <v>22</v>
      </c>
      <c r="N6" s="58" t="s">
        <v>563</v>
      </c>
      <c r="O6" s="15">
        <v>0.5</v>
      </c>
      <c r="P6" s="9">
        <v>25</v>
      </c>
      <c r="Q6" s="1">
        <v>16</v>
      </c>
      <c r="R6" s="10">
        <v>86</v>
      </c>
      <c r="S6" s="15" t="s">
        <v>26</v>
      </c>
    </row>
    <row r="7" spans="1:19">
      <c r="A7" s="10" t="s">
        <v>13</v>
      </c>
      <c r="B7" s="33" t="s">
        <v>365</v>
      </c>
      <c r="C7" s="15">
        <v>1</v>
      </c>
      <c r="D7" s="10" t="s">
        <v>27</v>
      </c>
      <c r="E7" s="19" t="s">
        <v>379</v>
      </c>
      <c r="F7" s="10">
        <v>1.1000000000000001</v>
      </c>
      <c r="G7" s="15" t="s">
        <v>28</v>
      </c>
      <c r="H7" s="14" t="s">
        <v>394</v>
      </c>
      <c r="I7" s="15">
        <v>1.1000000000000001</v>
      </c>
      <c r="J7" s="10" t="s">
        <v>27</v>
      </c>
      <c r="K7" s="14" t="s">
        <v>379</v>
      </c>
      <c r="L7" s="15">
        <v>2</v>
      </c>
      <c r="M7" s="15" t="s">
        <v>22</v>
      </c>
      <c r="N7" s="58" t="s">
        <v>563</v>
      </c>
      <c r="O7" s="15">
        <v>0.42</v>
      </c>
      <c r="P7" s="9">
        <v>25</v>
      </c>
      <c r="Q7" s="1">
        <v>2</v>
      </c>
      <c r="R7" s="10">
        <v>90</v>
      </c>
      <c r="S7" s="15" t="s">
        <v>29</v>
      </c>
    </row>
    <row r="8" spans="1:19">
      <c r="A8" s="10" t="s">
        <v>13</v>
      </c>
      <c r="B8" s="33" t="s">
        <v>365</v>
      </c>
      <c r="C8" s="15">
        <v>1</v>
      </c>
      <c r="D8" s="10" t="s">
        <v>27</v>
      </c>
      <c r="E8" s="19" t="s">
        <v>379</v>
      </c>
      <c r="F8" s="10">
        <v>2</v>
      </c>
      <c r="G8" s="15" t="s">
        <v>30</v>
      </c>
      <c r="H8" s="14" t="s">
        <v>391</v>
      </c>
      <c r="I8" s="15">
        <v>1.2</v>
      </c>
      <c r="J8" s="44" t="s">
        <v>196</v>
      </c>
      <c r="K8" s="14" t="s">
        <v>381</v>
      </c>
      <c r="L8" s="15">
        <v>2</v>
      </c>
      <c r="M8" s="15" t="s">
        <v>16</v>
      </c>
      <c r="N8" s="58" t="s">
        <v>562</v>
      </c>
      <c r="O8" s="15">
        <v>0.14000000000000001</v>
      </c>
      <c r="P8" s="9">
        <v>25</v>
      </c>
      <c r="Q8" s="1">
        <v>5</v>
      </c>
      <c r="R8" s="10">
        <v>95</v>
      </c>
      <c r="S8" s="15" t="s">
        <v>31</v>
      </c>
    </row>
    <row r="9" spans="1:19">
      <c r="A9" s="10" t="s">
        <v>13</v>
      </c>
      <c r="B9" s="33" t="s">
        <v>365</v>
      </c>
      <c r="C9" s="15">
        <v>1</v>
      </c>
      <c r="D9" s="10" t="s">
        <v>27</v>
      </c>
      <c r="E9" s="19" t="s">
        <v>379</v>
      </c>
      <c r="F9" s="10">
        <v>1.2</v>
      </c>
      <c r="G9" s="15" t="s">
        <v>18</v>
      </c>
      <c r="H9" s="14" t="s">
        <v>393</v>
      </c>
      <c r="I9" s="15">
        <v>1.1000000000000001</v>
      </c>
      <c r="J9" s="10" t="s">
        <v>27</v>
      </c>
      <c r="K9" s="14" t="s">
        <v>379</v>
      </c>
      <c r="L9" s="15">
        <v>2</v>
      </c>
      <c r="M9" s="15" t="s">
        <v>16</v>
      </c>
      <c r="N9" s="58" t="s">
        <v>562</v>
      </c>
      <c r="O9" s="15">
        <v>0.56000000000000005</v>
      </c>
      <c r="P9" s="9">
        <v>25</v>
      </c>
      <c r="Q9" s="1">
        <v>16</v>
      </c>
      <c r="R9" s="10">
        <v>61</v>
      </c>
      <c r="S9" s="15" t="s">
        <v>32</v>
      </c>
    </row>
    <row r="10" spans="1:19">
      <c r="A10" s="10" t="s">
        <v>13</v>
      </c>
      <c r="B10" s="33" t="s">
        <v>365</v>
      </c>
      <c r="C10" s="15">
        <v>1</v>
      </c>
      <c r="D10" s="10" t="s">
        <v>27</v>
      </c>
      <c r="E10" s="19" t="s">
        <v>379</v>
      </c>
      <c r="F10" s="10">
        <v>1.2</v>
      </c>
      <c r="G10" s="15" t="s">
        <v>15</v>
      </c>
      <c r="H10" s="15" t="s">
        <v>392</v>
      </c>
      <c r="I10" s="15">
        <v>1.2</v>
      </c>
      <c r="J10" s="44" t="s">
        <v>196</v>
      </c>
      <c r="K10" s="14" t="s">
        <v>381</v>
      </c>
      <c r="L10" s="15">
        <v>1.2</v>
      </c>
      <c r="M10" s="15" t="s">
        <v>16</v>
      </c>
      <c r="N10" s="58" t="s">
        <v>562</v>
      </c>
      <c r="O10" s="15">
        <v>0.5</v>
      </c>
      <c r="P10" s="9">
        <v>21</v>
      </c>
      <c r="Q10" s="1">
        <v>16</v>
      </c>
      <c r="R10" s="10">
        <v>95</v>
      </c>
      <c r="S10" s="15" t="s">
        <v>33</v>
      </c>
    </row>
    <row r="11" spans="1:19">
      <c r="A11" s="10" t="s">
        <v>13</v>
      </c>
      <c r="B11" s="33" t="s">
        <v>365</v>
      </c>
      <c r="C11" s="15">
        <v>1</v>
      </c>
      <c r="D11" s="10" t="s">
        <v>27</v>
      </c>
      <c r="E11" s="19" t="s">
        <v>379</v>
      </c>
      <c r="F11" s="10">
        <v>1.1000000000000001</v>
      </c>
      <c r="G11" s="15" t="s">
        <v>34</v>
      </c>
      <c r="H11" s="15" t="s">
        <v>396</v>
      </c>
      <c r="I11" s="15">
        <v>1.3</v>
      </c>
      <c r="J11" s="10" t="s">
        <v>21</v>
      </c>
      <c r="K11" s="14" t="s">
        <v>380</v>
      </c>
      <c r="L11" s="15">
        <v>2.2000000000000002</v>
      </c>
      <c r="M11" s="15" t="s">
        <v>16</v>
      </c>
      <c r="N11" s="58" t="s">
        <v>562</v>
      </c>
      <c r="O11" s="15">
        <v>0.36</v>
      </c>
      <c r="P11" s="9">
        <v>25</v>
      </c>
      <c r="Q11" s="1">
        <v>6</v>
      </c>
      <c r="R11" s="10">
        <v>90</v>
      </c>
      <c r="S11" s="15" t="s">
        <v>35</v>
      </c>
    </row>
    <row r="12" spans="1:19">
      <c r="A12" s="10" t="s">
        <v>36</v>
      </c>
      <c r="B12" s="33" t="s">
        <v>367</v>
      </c>
      <c r="C12" s="15">
        <v>1</v>
      </c>
      <c r="D12" s="10" t="s">
        <v>27</v>
      </c>
      <c r="E12" s="19" t="s">
        <v>379</v>
      </c>
      <c r="F12" s="10">
        <v>1.36</v>
      </c>
      <c r="G12" s="15" t="s">
        <v>15</v>
      </c>
      <c r="H12" s="15" t="s">
        <v>392</v>
      </c>
      <c r="I12" s="15">
        <v>1.2</v>
      </c>
      <c r="J12" s="10" t="s">
        <v>21</v>
      </c>
      <c r="K12" s="14" t="s">
        <v>380</v>
      </c>
      <c r="L12" s="15">
        <v>1.36</v>
      </c>
      <c r="M12" s="15" t="s">
        <v>22</v>
      </c>
      <c r="N12" s="58" t="s">
        <v>563</v>
      </c>
      <c r="O12" s="15">
        <v>0.4</v>
      </c>
      <c r="P12" s="9">
        <v>25</v>
      </c>
      <c r="Q12" s="1">
        <v>16</v>
      </c>
      <c r="R12" s="10">
        <v>95</v>
      </c>
      <c r="S12" s="15" t="s">
        <v>37</v>
      </c>
    </row>
    <row r="13" spans="1:19">
      <c r="A13" s="10" t="s">
        <v>36</v>
      </c>
      <c r="B13" s="33" t="s">
        <v>367</v>
      </c>
      <c r="C13" s="15">
        <v>1</v>
      </c>
      <c r="D13" s="10" t="s">
        <v>27</v>
      </c>
      <c r="E13" s="19" t="s">
        <v>379</v>
      </c>
      <c r="F13" s="10">
        <v>1.2</v>
      </c>
      <c r="G13" s="15" t="s">
        <v>38</v>
      </c>
      <c r="H13" s="33" t="s">
        <v>398</v>
      </c>
      <c r="I13" s="15">
        <v>1.2</v>
      </c>
      <c r="J13" s="10" t="s">
        <v>27</v>
      </c>
      <c r="K13" s="14" t="s">
        <v>379</v>
      </c>
      <c r="L13" s="15">
        <v>2</v>
      </c>
      <c r="M13" s="15" t="s">
        <v>16</v>
      </c>
      <c r="N13" s="58" t="s">
        <v>562</v>
      </c>
      <c r="O13" s="15">
        <v>0.25</v>
      </c>
      <c r="P13" s="9">
        <v>25</v>
      </c>
      <c r="Q13" s="1">
        <v>5</v>
      </c>
      <c r="R13" s="10">
        <v>91</v>
      </c>
      <c r="S13" s="15" t="s">
        <v>39</v>
      </c>
    </row>
    <row r="14" spans="1:19">
      <c r="A14" s="10" t="s">
        <v>36</v>
      </c>
      <c r="B14" s="33" t="s">
        <v>367</v>
      </c>
      <c r="C14" s="15">
        <v>1</v>
      </c>
      <c r="D14" s="10" t="s">
        <v>27</v>
      </c>
      <c r="E14" s="19" t="s">
        <v>379</v>
      </c>
      <c r="F14" s="10">
        <v>2</v>
      </c>
      <c r="G14" s="15" t="s">
        <v>18</v>
      </c>
      <c r="H14" s="14" t="s">
        <v>393</v>
      </c>
      <c r="I14" s="15">
        <v>1</v>
      </c>
      <c r="J14" s="10" t="s">
        <v>27</v>
      </c>
      <c r="K14" s="14" t="s">
        <v>379</v>
      </c>
      <c r="L14" s="15">
        <v>2</v>
      </c>
      <c r="M14" s="15" t="s">
        <v>40</v>
      </c>
      <c r="N14" s="14" t="s">
        <v>423</v>
      </c>
      <c r="O14" s="15">
        <v>0.5</v>
      </c>
      <c r="P14" s="9">
        <v>25</v>
      </c>
      <c r="Q14" s="1">
        <v>16</v>
      </c>
      <c r="R14" s="10">
        <v>98</v>
      </c>
      <c r="S14" s="15" t="s">
        <v>41</v>
      </c>
    </row>
    <row r="15" spans="1:19">
      <c r="A15" s="10" t="s">
        <v>36</v>
      </c>
      <c r="B15" s="33" t="s">
        <v>367</v>
      </c>
      <c r="C15" s="15">
        <v>1</v>
      </c>
      <c r="D15" s="10" t="s">
        <v>27</v>
      </c>
      <c r="E15" s="19" t="s">
        <v>379</v>
      </c>
      <c r="F15" s="10">
        <v>2</v>
      </c>
      <c r="G15" s="15" t="s">
        <v>15</v>
      </c>
      <c r="H15" s="15" t="s">
        <v>392</v>
      </c>
      <c r="I15" s="15">
        <v>1.1000000000000001</v>
      </c>
      <c r="J15" s="10" t="s">
        <v>27</v>
      </c>
      <c r="K15" s="14" t="s">
        <v>379</v>
      </c>
      <c r="L15" s="15">
        <v>2</v>
      </c>
      <c r="M15" s="15" t="s">
        <v>16</v>
      </c>
      <c r="N15" s="58" t="s">
        <v>562</v>
      </c>
      <c r="O15" s="15">
        <v>0.5</v>
      </c>
      <c r="P15" s="9">
        <v>25</v>
      </c>
      <c r="Q15" s="1">
        <v>24</v>
      </c>
      <c r="R15" s="10">
        <v>64</v>
      </c>
      <c r="S15" s="15" t="s">
        <v>42</v>
      </c>
    </row>
    <row r="16" spans="1:19">
      <c r="A16" s="10" t="s">
        <v>36</v>
      </c>
      <c r="B16" s="33" t="s">
        <v>367</v>
      </c>
      <c r="C16" s="15">
        <v>1</v>
      </c>
      <c r="D16" s="10" t="s">
        <v>27</v>
      </c>
      <c r="E16" s="19" t="s">
        <v>379</v>
      </c>
      <c r="F16" s="10">
        <v>2</v>
      </c>
      <c r="G16" s="15" t="s">
        <v>15</v>
      </c>
      <c r="H16" s="15" t="s">
        <v>392</v>
      </c>
      <c r="I16" s="15">
        <v>1.1000000000000001</v>
      </c>
      <c r="J16" s="10" t="s">
        <v>27</v>
      </c>
      <c r="K16" s="14" t="s">
        <v>379</v>
      </c>
      <c r="L16" s="15">
        <v>2</v>
      </c>
      <c r="M16" s="15" t="s">
        <v>16</v>
      </c>
      <c r="N16" s="58" t="s">
        <v>562</v>
      </c>
      <c r="O16" s="15">
        <v>0.06</v>
      </c>
      <c r="P16" s="9">
        <v>25</v>
      </c>
      <c r="Q16" s="1">
        <v>24</v>
      </c>
      <c r="R16" s="10">
        <v>64</v>
      </c>
      <c r="S16" s="15" t="s">
        <v>43</v>
      </c>
    </row>
    <row r="17" spans="1:19">
      <c r="A17" s="10" t="s">
        <v>44</v>
      </c>
      <c r="B17" s="33" t="s">
        <v>368</v>
      </c>
      <c r="C17" s="15">
        <v>1</v>
      </c>
      <c r="D17" s="10" t="s">
        <v>27</v>
      </c>
      <c r="E17" s="19" t="s">
        <v>379</v>
      </c>
      <c r="F17" s="10">
        <v>2</v>
      </c>
      <c r="G17" s="15" t="s">
        <v>30</v>
      </c>
      <c r="H17" s="14" t="s">
        <v>391</v>
      </c>
      <c r="I17" s="15">
        <v>1.2</v>
      </c>
      <c r="J17" s="44" t="s">
        <v>196</v>
      </c>
      <c r="K17" s="14" t="s">
        <v>381</v>
      </c>
      <c r="L17" s="15">
        <v>2</v>
      </c>
      <c r="M17" s="15" t="s">
        <v>16</v>
      </c>
      <c r="N17" s="58" t="s">
        <v>562</v>
      </c>
      <c r="O17" s="15">
        <v>0.15</v>
      </c>
      <c r="P17" s="9">
        <v>25</v>
      </c>
      <c r="Q17" s="1">
        <v>5</v>
      </c>
      <c r="R17" s="10">
        <v>95</v>
      </c>
      <c r="S17" s="15" t="s">
        <v>31</v>
      </c>
    </row>
    <row r="18" spans="1:19">
      <c r="A18" s="10" t="s">
        <v>44</v>
      </c>
      <c r="B18" s="33" t="s">
        <v>368</v>
      </c>
      <c r="C18" s="15">
        <v>1</v>
      </c>
      <c r="D18" s="10" t="s">
        <v>27</v>
      </c>
      <c r="E18" s="19" t="s">
        <v>379</v>
      </c>
      <c r="F18" s="10">
        <v>2</v>
      </c>
      <c r="G18" s="15" t="s">
        <v>18</v>
      </c>
      <c r="H18" s="14" t="s">
        <v>393</v>
      </c>
      <c r="I18" s="15">
        <v>1.1000000000000001</v>
      </c>
      <c r="J18" s="10" t="s">
        <v>27</v>
      </c>
      <c r="K18" s="14" t="s">
        <v>379</v>
      </c>
      <c r="L18" s="15">
        <v>2</v>
      </c>
      <c r="M18" s="15" t="s">
        <v>16</v>
      </c>
      <c r="N18" s="58" t="s">
        <v>562</v>
      </c>
      <c r="O18" s="15">
        <v>0.19</v>
      </c>
      <c r="P18" s="9">
        <v>25</v>
      </c>
      <c r="Q18" s="1">
        <v>18</v>
      </c>
      <c r="R18" s="10">
        <v>89</v>
      </c>
      <c r="S18" s="15" t="s">
        <v>45</v>
      </c>
    </row>
    <row r="19" spans="1:19">
      <c r="A19" s="10" t="s">
        <v>44</v>
      </c>
      <c r="B19" s="33" t="s">
        <v>368</v>
      </c>
      <c r="C19" s="15">
        <v>1</v>
      </c>
      <c r="D19" s="10" t="s">
        <v>27</v>
      </c>
      <c r="E19" s="19" t="s">
        <v>379</v>
      </c>
      <c r="F19" s="10">
        <v>2.1</v>
      </c>
      <c r="G19" s="15" t="s">
        <v>18</v>
      </c>
      <c r="H19" s="14" t="s">
        <v>393</v>
      </c>
      <c r="I19" s="15">
        <v>1.1000000000000001</v>
      </c>
      <c r="J19" s="10" t="s">
        <v>27</v>
      </c>
      <c r="K19" s="14" t="s">
        <v>379</v>
      </c>
      <c r="L19" s="15">
        <v>2</v>
      </c>
      <c r="M19" s="15" t="s">
        <v>16</v>
      </c>
      <c r="N19" s="58" t="s">
        <v>562</v>
      </c>
      <c r="O19" s="15">
        <v>0.2</v>
      </c>
      <c r="P19" s="9">
        <v>25</v>
      </c>
      <c r="Q19" s="1">
        <v>24</v>
      </c>
      <c r="R19" s="10">
        <v>82</v>
      </c>
      <c r="S19" s="15" t="s">
        <v>46</v>
      </c>
    </row>
    <row r="20" spans="1:19">
      <c r="A20" s="10" t="s">
        <v>44</v>
      </c>
      <c r="B20" s="33" t="s">
        <v>368</v>
      </c>
      <c r="C20" s="15">
        <v>1.3</v>
      </c>
      <c r="D20" s="10" t="s">
        <v>27</v>
      </c>
      <c r="E20" s="19" t="s">
        <v>379</v>
      </c>
      <c r="F20" s="10">
        <v>1</v>
      </c>
      <c r="G20" s="15" t="s">
        <v>47</v>
      </c>
      <c r="H20" s="59" t="s">
        <v>561</v>
      </c>
      <c r="I20" s="15">
        <v>1.3</v>
      </c>
      <c r="J20" s="44" t="s">
        <v>196</v>
      </c>
      <c r="K20" s="14" t="s">
        <v>381</v>
      </c>
      <c r="L20" s="15">
        <v>4</v>
      </c>
      <c r="M20" s="15" t="s">
        <v>48</v>
      </c>
      <c r="N20" s="15" t="s">
        <v>425</v>
      </c>
      <c r="O20" s="15">
        <v>0.5</v>
      </c>
      <c r="P20" s="9">
        <v>25</v>
      </c>
      <c r="Q20" s="1">
        <v>16</v>
      </c>
      <c r="R20" s="10">
        <v>86</v>
      </c>
      <c r="S20" s="15" t="s">
        <v>49</v>
      </c>
    </row>
    <row r="21" spans="1:19">
      <c r="A21" s="10" t="s">
        <v>44</v>
      </c>
      <c r="B21" s="33" t="s">
        <v>368</v>
      </c>
      <c r="C21" s="15">
        <v>1</v>
      </c>
      <c r="D21" s="10" t="s">
        <v>27</v>
      </c>
      <c r="E21" s="19" t="s">
        <v>379</v>
      </c>
      <c r="F21" s="10">
        <v>2.5</v>
      </c>
      <c r="G21" s="15" t="s">
        <v>15</v>
      </c>
      <c r="H21" s="15" t="s">
        <v>392</v>
      </c>
      <c r="I21" s="15">
        <v>1.2</v>
      </c>
      <c r="J21" s="10" t="s">
        <v>27</v>
      </c>
      <c r="K21" s="14" t="s">
        <v>379</v>
      </c>
      <c r="L21" s="15">
        <v>2</v>
      </c>
      <c r="M21" s="15" t="s">
        <v>16</v>
      </c>
      <c r="N21" s="58" t="s">
        <v>562</v>
      </c>
      <c r="O21" s="15">
        <v>0.22</v>
      </c>
      <c r="P21" s="9">
        <v>11</v>
      </c>
      <c r="Q21" s="1">
        <v>16</v>
      </c>
      <c r="R21" s="10">
        <v>100</v>
      </c>
      <c r="S21" s="15" t="s">
        <v>50</v>
      </c>
    </row>
    <row r="22" spans="1:19">
      <c r="A22" s="10" t="s">
        <v>36</v>
      </c>
      <c r="B22" s="33" t="s">
        <v>367</v>
      </c>
      <c r="C22" s="15">
        <v>1</v>
      </c>
      <c r="D22" s="10" t="s">
        <v>14</v>
      </c>
      <c r="E22" s="10" t="s">
        <v>382</v>
      </c>
      <c r="F22" s="10">
        <v>1.5</v>
      </c>
      <c r="G22" s="15" t="s">
        <v>15</v>
      </c>
      <c r="H22" s="15" t="s">
        <v>392</v>
      </c>
      <c r="I22" s="15">
        <v>1.1000000000000001</v>
      </c>
      <c r="J22" s="10" t="s">
        <v>24</v>
      </c>
      <c r="K22" s="14" t="s">
        <v>380</v>
      </c>
      <c r="L22" s="15">
        <v>1.5</v>
      </c>
      <c r="M22" s="15" t="s">
        <v>22</v>
      </c>
      <c r="N22" s="58" t="s">
        <v>563</v>
      </c>
      <c r="O22" s="15">
        <v>0.4</v>
      </c>
      <c r="P22" s="9">
        <v>25</v>
      </c>
      <c r="Q22" s="1">
        <v>16</v>
      </c>
      <c r="R22" s="10">
        <v>100</v>
      </c>
      <c r="S22" s="15" t="s">
        <v>37</v>
      </c>
    </row>
    <row r="23" spans="1:19">
      <c r="A23" s="10" t="s">
        <v>36</v>
      </c>
      <c r="B23" s="33" t="s">
        <v>367</v>
      </c>
      <c r="C23" s="15">
        <v>1</v>
      </c>
      <c r="D23" s="10" t="s">
        <v>14</v>
      </c>
      <c r="E23" s="10" t="s">
        <v>382</v>
      </c>
      <c r="F23" s="10">
        <v>1.2</v>
      </c>
      <c r="G23" s="15" t="s">
        <v>15</v>
      </c>
      <c r="H23" s="15" t="s">
        <v>392</v>
      </c>
      <c r="I23" s="15">
        <v>1.2</v>
      </c>
      <c r="J23" s="10" t="s">
        <v>51</v>
      </c>
      <c r="K23" s="15" t="s">
        <v>383</v>
      </c>
      <c r="L23" s="15">
        <v>2.2000000000000002</v>
      </c>
      <c r="M23" s="15" t="s">
        <v>40</v>
      </c>
      <c r="N23" s="14" t="s">
        <v>423</v>
      </c>
      <c r="O23" s="15">
        <v>0.5</v>
      </c>
      <c r="P23" s="9">
        <v>25</v>
      </c>
      <c r="Q23" s="1">
        <v>24</v>
      </c>
      <c r="R23" s="10">
        <v>90</v>
      </c>
      <c r="S23" s="15" t="s">
        <v>52</v>
      </c>
    </row>
    <row r="24" spans="1:19">
      <c r="A24" s="10" t="s">
        <v>36</v>
      </c>
      <c r="B24" s="33" t="s">
        <v>367</v>
      </c>
      <c r="C24" s="15">
        <v>1</v>
      </c>
      <c r="D24" s="10" t="s">
        <v>14</v>
      </c>
      <c r="E24" s="10" t="s">
        <v>382</v>
      </c>
      <c r="F24" s="10">
        <v>1</v>
      </c>
      <c r="G24" s="15" t="s">
        <v>53</v>
      </c>
      <c r="H24" s="15" t="s">
        <v>401</v>
      </c>
      <c r="I24" s="15">
        <v>1</v>
      </c>
      <c r="J24" s="10" t="s">
        <v>51</v>
      </c>
      <c r="K24" s="15" t="s">
        <v>383</v>
      </c>
      <c r="L24" s="15">
        <v>1.1000000000000001</v>
      </c>
      <c r="M24" s="15" t="s">
        <v>40</v>
      </c>
      <c r="N24" s="14" t="s">
        <v>423</v>
      </c>
      <c r="O24" s="15">
        <v>0.2</v>
      </c>
      <c r="P24" s="9">
        <v>25</v>
      </c>
      <c r="Q24" s="1">
        <v>3</v>
      </c>
      <c r="R24" s="10">
        <v>95</v>
      </c>
      <c r="S24" s="15" t="s">
        <v>54</v>
      </c>
    </row>
    <row r="25" spans="1:19">
      <c r="A25" s="10" t="s">
        <v>36</v>
      </c>
      <c r="B25" s="33" t="s">
        <v>367</v>
      </c>
      <c r="C25" s="15">
        <v>1</v>
      </c>
      <c r="D25" s="10" t="s">
        <v>55</v>
      </c>
      <c r="E25" s="10" t="s">
        <v>459</v>
      </c>
      <c r="F25" s="10">
        <v>1</v>
      </c>
      <c r="G25" s="15" t="s">
        <v>15</v>
      </c>
      <c r="H25" s="15" t="s">
        <v>392</v>
      </c>
      <c r="I25" s="15">
        <v>1.2</v>
      </c>
      <c r="J25" s="44" t="s">
        <v>196</v>
      </c>
      <c r="K25" s="14" t="s">
        <v>381</v>
      </c>
      <c r="L25" s="15">
        <v>1.2</v>
      </c>
      <c r="M25" s="15" t="s">
        <v>16</v>
      </c>
      <c r="N25" s="58" t="s">
        <v>562</v>
      </c>
      <c r="O25" s="15">
        <v>0.2</v>
      </c>
      <c r="P25" s="9">
        <v>25</v>
      </c>
      <c r="Q25" s="1">
        <v>16</v>
      </c>
      <c r="R25" s="10">
        <v>74</v>
      </c>
      <c r="S25" s="15" t="s">
        <v>56</v>
      </c>
    </row>
    <row r="26" spans="1:19">
      <c r="A26" s="10" t="s">
        <v>57</v>
      </c>
      <c r="B26" s="33" t="s">
        <v>366</v>
      </c>
      <c r="C26" s="15">
        <v>1</v>
      </c>
      <c r="D26" s="10" t="s">
        <v>58</v>
      </c>
      <c r="E26" s="10" t="s">
        <v>458</v>
      </c>
      <c r="F26" s="10">
        <v>1.1000000000000001</v>
      </c>
      <c r="G26" s="15" t="s">
        <v>59</v>
      </c>
      <c r="H26" s="14" t="s">
        <v>390</v>
      </c>
      <c r="I26" s="15">
        <v>1.1000000000000001</v>
      </c>
      <c r="J26" s="10" t="s">
        <v>21</v>
      </c>
      <c r="K26" s="14" t="s">
        <v>380</v>
      </c>
      <c r="L26" s="15">
        <v>2.25</v>
      </c>
      <c r="M26" s="15" t="s">
        <v>22</v>
      </c>
      <c r="N26" s="58" t="s">
        <v>563</v>
      </c>
      <c r="O26" s="15">
        <v>0.3</v>
      </c>
      <c r="P26" s="9">
        <v>25</v>
      </c>
      <c r="Q26" s="1">
        <v>18</v>
      </c>
      <c r="R26" s="10">
        <v>80</v>
      </c>
      <c r="S26" s="15" t="s">
        <v>60</v>
      </c>
    </row>
    <row r="27" spans="1:19">
      <c r="A27" s="10" t="s">
        <v>57</v>
      </c>
      <c r="B27" s="33" t="s">
        <v>366</v>
      </c>
      <c r="C27" s="15">
        <v>1</v>
      </c>
      <c r="D27" s="10" t="s">
        <v>58</v>
      </c>
      <c r="E27" s="10" t="s">
        <v>458</v>
      </c>
      <c r="F27" s="10">
        <v>1.5</v>
      </c>
      <c r="G27" s="15" t="s">
        <v>59</v>
      </c>
      <c r="H27" s="14" t="s">
        <v>390</v>
      </c>
      <c r="I27" s="15">
        <v>1.1000000000000001</v>
      </c>
      <c r="J27" s="10" t="s">
        <v>21</v>
      </c>
      <c r="K27" s="14" t="s">
        <v>380</v>
      </c>
      <c r="L27" s="15">
        <v>3</v>
      </c>
      <c r="M27" s="15" t="s">
        <v>22</v>
      </c>
      <c r="N27" s="58" t="s">
        <v>563</v>
      </c>
      <c r="O27" s="15">
        <v>0.3</v>
      </c>
      <c r="P27" s="9">
        <v>25</v>
      </c>
      <c r="Q27" s="1">
        <v>16</v>
      </c>
      <c r="R27" s="10">
        <v>88</v>
      </c>
      <c r="S27" s="15" t="s">
        <v>61</v>
      </c>
    </row>
    <row r="28" spans="1:19">
      <c r="A28" s="10" t="s">
        <v>57</v>
      </c>
      <c r="B28" s="33" t="s">
        <v>366</v>
      </c>
      <c r="C28" s="15">
        <v>1</v>
      </c>
      <c r="D28" s="10" t="s">
        <v>58</v>
      </c>
      <c r="E28" s="10" t="s">
        <v>458</v>
      </c>
      <c r="F28" s="10">
        <v>1.5</v>
      </c>
      <c r="G28" s="15" t="s">
        <v>47</v>
      </c>
      <c r="H28" s="59" t="s">
        <v>561</v>
      </c>
      <c r="I28" s="15">
        <v>1.2</v>
      </c>
      <c r="J28" s="10" t="s">
        <v>21</v>
      </c>
      <c r="K28" s="14" t="s">
        <v>380</v>
      </c>
      <c r="L28" s="15">
        <v>2.5</v>
      </c>
      <c r="M28" s="15" t="s">
        <v>22</v>
      </c>
      <c r="N28" s="58" t="s">
        <v>563</v>
      </c>
      <c r="O28" s="15">
        <v>0.4</v>
      </c>
      <c r="P28" s="9">
        <v>25</v>
      </c>
      <c r="Q28" s="1">
        <v>18</v>
      </c>
      <c r="R28" s="10">
        <v>91</v>
      </c>
      <c r="S28" s="15" t="s">
        <v>62</v>
      </c>
    </row>
    <row r="29" spans="1:19">
      <c r="A29" s="10" t="s">
        <v>57</v>
      </c>
      <c r="B29" s="33" t="s">
        <v>366</v>
      </c>
      <c r="C29" s="15">
        <v>1</v>
      </c>
      <c r="D29" s="10" t="s">
        <v>58</v>
      </c>
      <c r="E29" s="10" t="s">
        <v>458</v>
      </c>
      <c r="F29" s="10">
        <v>1.1000000000000001</v>
      </c>
      <c r="G29" s="15" t="s">
        <v>59</v>
      </c>
      <c r="H29" s="14" t="s">
        <v>390</v>
      </c>
      <c r="I29" s="15">
        <v>1.2</v>
      </c>
      <c r="J29" s="10" t="s">
        <v>21</v>
      </c>
      <c r="K29" s="14" t="s">
        <v>380</v>
      </c>
      <c r="L29" s="15">
        <v>2.25</v>
      </c>
      <c r="M29" s="15" t="s">
        <v>63</v>
      </c>
      <c r="N29" s="15" t="s">
        <v>564</v>
      </c>
      <c r="O29" s="15">
        <v>0.4</v>
      </c>
      <c r="P29" s="9">
        <v>25</v>
      </c>
      <c r="Q29" s="1">
        <v>15</v>
      </c>
      <c r="R29" s="10">
        <v>93</v>
      </c>
      <c r="S29" s="15" t="s">
        <v>64</v>
      </c>
    </row>
    <row r="30" spans="1:19">
      <c r="A30" s="10" t="s">
        <v>57</v>
      </c>
      <c r="B30" s="33" t="s">
        <v>366</v>
      </c>
      <c r="C30" s="15">
        <v>1</v>
      </c>
      <c r="D30" s="10" t="s">
        <v>65</v>
      </c>
      <c r="E30" s="10" t="s">
        <v>460</v>
      </c>
      <c r="F30" s="10">
        <v>1.2</v>
      </c>
      <c r="G30" s="15" t="s">
        <v>59</v>
      </c>
      <c r="H30" s="14" t="s">
        <v>390</v>
      </c>
      <c r="I30" s="15">
        <v>2</v>
      </c>
      <c r="J30" s="10" t="s">
        <v>21</v>
      </c>
      <c r="K30" s="14" t="s">
        <v>380</v>
      </c>
      <c r="L30" s="15">
        <v>5</v>
      </c>
      <c r="M30" s="15" t="s">
        <v>22</v>
      </c>
      <c r="N30" s="58" t="s">
        <v>563</v>
      </c>
      <c r="O30" s="15">
        <v>0.5</v>
      </c>
      <c r="P30" s="9">
        <v>20</v>
      </c>
      <c r="Q30" s="1">
        <v>12</v>
      </c>
      <c r="R30" s="10">
        <v>92</v>
      </c>
      <c r="S30" s="15" t="s">
        <v>66</v>
      </c>
    </row>
    <row r="31" spans="1:19">
      <c r="A31" s="10" t="s">
        <v>57</v>
      </c>
      <c r="B31" s="33" t="s">
        <v>366</v>
      </c>
      <c r="C31" s="15">
        <v>1</v>
      </c>
      <c r="D31" s="10" t="s">
        <v>67</v>
      </c>
      <c r="E31" s="10" t="s">
        <v>461</v>
      </c>
      <c r="F31" s="10">
        <v>1.18</v>
      </c>
      <c r="G31" s="15" t="s">
        <v>68</v>
      </c>
      <c r="H31" s="15" t="s">
        <v>397</v>
      </c>
      <c r="I31" s="15">
        <v>1.19</v>
      </c>
      <c r="J31" s="10" t="s">
        <v>69</v>
      </c>
      <c r="K31" s="15" t="s">
        <v>383</v>
      </c>
      <c r="L31" s="15">
        <v>3</v>
      </c>
      <c r="M31" s="15" t="s">
        <v>70</v>
      </c>
      <c r="N31" s="14" t="s">
        <v>565</v>
      </c>
      <c r="O31" s="15">
        <v>0.3</v>
      </c>
      <c r="P31" s="9">
        <v>25</v>
      </c>
      <c r="Q31" s="1">
        <v>24</v>
      </c>
      <c r="R31" s="10">
        <v>96</v>
      </c>
      <c r="S31" s="15" t="s">
        <v>71</v>
      </c>
    </row>
    <row r="32" spans="1:19">
      <c r="A32" s="10" t="s">
        <v>57</v>
      </c>
      <c r="B32" s="33" t="s">
        <v>366</v>
      </c>
      <c r="C32" s="15">
        <v>1</v>
      </c>
      <c r="D32" s="10" t="s">
        <v>72</v>
      </c>
      <c r="E32" s="10" t="s">
        <v>386</v>
      </c>
      <c r="F32" s="10">
        <v>1</v>
      </c>
      <c r="G32" s="15" t="s">
        <v>59</v>
      </c>
      <c r="H32" s="14" t="s">
        <v>390</v>
      </c>
      <c r="I32" s="15">
        <v>1.1000000000000001</v>
      </c>
      <c r="J32" s="10" t="s">
        <v>69</v>
      </c>
      <c r="K32" s="15" t="s">
        <v>383</v>
      </c>
      <c r="L32" s="15">
        <v>2.2000000000000002</v>
      </c>
      <c r="M32" s="15" t="s">
        <v>16</v>
      </c>
      <c r="N32" s="58" t="s">
        <v>562</v>
      </c>
      <c r="O32" s="15">
        <v>0.55000000000000004</v>
      </c>
      <c r="P32" s="9">
        <v>25</v>
      </c>
      <c r="Q32" s="1">
        <v>18</v>
      </c>
      <c r="R32" s="10">
        <v>91</v>
      </c>
      <c r="S32" s="15" t="s">
        <v>73</v>
      </c>
    </row>
    <row r="33" spans="1:19">
      <c r="A33" s="10" t="s">
        <v>57</v>
      </c>
      <c r="B33" s="33" t="s">
        <v>366</v>
      </c>
      <c r="C33" s="15">
        <v>1</v>
      </c>
      <c r="D33" s="10" t="s">
        <v>72</v>
      </c>
      <c r="E33" s="10" t="s">
        <v>386</v>
      </c>
      <c r="F33" s="10">
        <v>1.1000000000000001</v>
      </c>
      <c r="G33" s="15" t="s">
        <v>59</v>
      </c>
      <c r="H33" s="14" t="s">
        <v>390</v>
      </c>
      <c r="I33" s="15">
        <v>1.1000000000000001</v>
      </c>
      <c r="J33" s="10" t="s">
        <v>21</v>
      </c>
      <c r="K33" s="14" t="s">
        <v>380</v>
      </c>
      <c r="L33" s="15">
        <v>1</v>
      </c>
      <c r="M33" s="15" t="s">
        <v>22</v>
      </c>
      <c r="N33" s="58" t="s">
        <v>563</v>
      </c>
      <c r="O33" s="15">
        <v>0.6</v>
      </c>
      <c r="P33" s="9">
        <v>25</v>
      </c>
      <c r="Q33" s="1">
        <v>18</v>
      </c>
      <c r="R33" s="10">
        <v>90</v>
      </c>
      <c r="S33" s="15" t="s">
        <v>74</v>
      </c>
    </row>
    <row r="34" spans="1:19">
      <c r="A34" s="10" t="s">
        <v>57</v>
      </c>
      <c r="B34" s="33" t="s">
        <v>366</v>
      </c>
      <c r="C34" s="15">
        <v>1</v>
      </c>
      <c r="D34" s="10" t="s">
        <v>72</v>
      </c>
      <c r="E34" s="10" t="s">
        <v>386</v>
      </c>
      <c r="F34" s="10">
        <v>1</v>
      </c>
      <c r="G34" s="15" t="s">
        <v>59</v>
      </c>
      <c r="H34" s="14" t="s">
        <v>390</v>
      </c>
      <c r="I34" s="15">
        <v>1.05</v>
      </c>
      <c r="J34" s="10" t="s">
        <v>69</v>
      </c>
      <c r="K34" s="15" t="s">
        <v>383</v>
      </c>
      <c r="L34" s="15">
        <v>2.71</v>
      </c>
      <c r="M34" s="15" t="s">
        <v>75</v>
      </c>
      <c r="N34" s="15" t="s">
        <v>424</v>
      </c>
      <c r="O34" s="15">
        <v>0.4</v>
      </c>
      <c r="P34" s="9">
        <v>25</v>
      </c>
      <c r="Q34" s="1">
        <v>18</v>
      </c>
      <c r="R34" s="10">
        <v>97</v>
      </c>
      <c r="S34" s="15" t="s">
        <v>76</v>
      </c>
    </row>
    <row r="35" spans="1:19">
      <c r="A35" s="10" t="s">
        <v>57</v>
      </c>
      <c r="B35" s="33" t="s">
        <v>366</v>
      </c>
      <c r="C35" s="15">
        <v>1</v>
      </c>
      <c r="D35" s="10" t="s">
        <v>72</v>
      </c>
      <c r="E35" s="10" t="s">
        <v>386</v>
      </c>
      <c r="F35" s="10">
        <v>1</v>
      </c>
      <c r="G35" s="15" t="s">
        <v>77</v>
      </c>
      <c r="H35" s="14" t="s">
        <v>391</v>
      </c>
      <c r="I35" s="15">
        <v>1.05</v>
      </c>
      <c r="J35" s="10" t="s">
        <v>21</v>
      </c>
      <c r="K35" s="14" t="s">
        <v>380</v>
      </c>
      <c r="L35" s="15">
        <v>3.5</v>
      </c>
      <c r="M35" s="15" t="s">
        <v>22</v>
      </c>
      <c r="N35" s="58" t="s">
        <v>563</v>
      </c>
      <c r="O35" s="15">
        <v>0.3</v>
      </c>
      <c r="P35" s="9">
        <v>25</v>
      </c>
      <c r="Q35" s="1">
        <v>18</v>
      </c>
      <c r="R35" s="10">
        <v>100</v>
      </c>
      <c r="S35" s="15" t="s">
        <v>78</v>
      </c>
    </row>
    <row r="36" spans="1:19">
      <c r="A36" s="10" t="s">
        <v>57</v>
      </c>
      <c r="B36" s="33" t="s">
        <v>366</v>
      </c>
      <c r="C36" s="15">
        <v>1</v>
      </c>
      <c r="D36" s="10" t="s">
        <v>72</v>
      </c>
      <c r="E36" s="10" t="s">
        <v>386</v>
      </c>
      <c r="F36" s="10">
        <v>1</v>
      </c>
      <c r="G36" s="15" t="s">
        <v>77</v>
      </c>
      <c r="H36" s="14" t="s">
        <v>391</v>
      </c>
      <c r="I36" s="15">
        <v>1.5</v>
      </c>
      <c r="J36" s="10" t="s">
        <v>21</v>
      </c>
      <c r="K36" s="14" t="s">
        <v>380</v>
      </c>
      <c r="L36" s="15">
        <v>5</v>
      </c>
      <c r="M36" s="15" t="s">
        <v>16</v>
      </c>
      <c r="N36" s="58" t="s">
        <v>562</v>
      </c>
      <c r="O36" s="15">
        <v>0.4</v>
      </c>
      <c r="P36" s="9">
        <v>25</v>
      </c>
      <c r="Q36" s="1">
        <v>16</v>
      </c>
      <c r="R36" s="10">
        <v>99</v>
      </c>
      <c r="S36" s="15" t="s">
        <v>79</v>
      </c>
    </row>
    <row r="37" spans="1:19">
      <c r="A37" s="10" t="s">
        <v>57</v>
      </c>
      <c r="B37" s="33" t="s">
        <v>366</v>
      </c>
      <c r="C37" s="15">
        <v>1</v>
      </c>
      <c r="D37" s="10" t="s">
        <v>72</v>
      </c>
      <c r="E37" s="10" t="s">
        <v>386</v>
      </c>
      <c r="F37" s="10">
        <v>1</v>
      </c>
      <c r="G37" s="15" t="s">
        <v>77</v>
      </c>
      <c r="H37" s="14" t="s">
        <v>391</v>
      </c>
      <c r="I37" s="15">
        <v>1.5</v>
      </c>
      <c r="J37" s="10" t="s">
        <v>21</v>
      </c>
      <c r="K37" s="14" t="s">
        <v>380</v>
      </c>
      <c r="L37" s="15">
        <v>5</v>
      </c>
      <c r="M37" s="15" t="s">
        <v>16</v>
      </c>
      <c r="N37" s="58" t="s">
        <v>562</v>
      </c>
      <c r="O37" s="15">
        <v>0.7</v>
      </c>
      <c r="P37" s="9">
        <v>25</v>
      </c>
      <c r="Q37" s="1">
        <v>15</v>
      </c>
      <c r="R37" s="10">
        <v>99</v>
      </c>
      <c r="S37" s="15" t="s">
        <v>80</v>
      </c>
    </row>
    <row r="38" spans="1:19">
      <c r="A38" s="10" t="s">
        <v>57</v>
      </c>
      <c r="B38" s="33" t="s">
        <v>366</v>
      </c>
      <c r="C38" s="15">
        <v>1</v>
      </c>
      <c r="D38" s="10" t="s">
        <v>72</v>
      </c>
      <c r="E38" s="10" t="s">
        <v>386</v>
      </c>
      <c r="F38" s="10">
        <v>1</v>
      </c>
      <c r="G38" s="15" t="s">
        <v>77</v>
      </c>
      <c r="H38" s="14" t="s">
        <v>391</v>
      </c>
      <c r="I38" s="15">
        <v>1.5</v>
      </c>
      <c r="J38" s="10" t="s">
        <v>72</v>
      </c>
      <c r="K38" s="15" t="s">
        <v>386</v>
      </c>
      <c r="L38" s="15">
        <v>1</v>
      </c>
      <c r="M38" s="15" t="s">
        <v>81</v>
      </c>
      <c r="N38" s="14" t="s">
        <v>562</v>
      </c>
      <c r="O38" s="15">
        <v>1.2</v>
      </c>
      <c r="P38" s="9">
        <v>25</v>
      </c>
      <c r="Q38" s="1">
        <v>16</v>
      </c>
      <c r="R38" s="10">
        <v>95</v>
      </c>
      <c r="S38" s="15" t="s">
        <v>82</v>
      </c>
    </row>
    <row r="39" spans="1:19">
      <c r="A39" s="10" t="s">
        <v>57</v>
      </c>
      <c r="B39" s="33" t="s">
        <v>366</v>
      </c>
      <c r="C39" s="15">
        <v>1</v>
      </c>
      <c r="D39" s="10" t="s">
        <v>72</v>
      </c>
      <c r="E39" s="10" t="s">
        <v>386</v>
      </c>
      <c r="F39" s="10">
        <v>1</v>
      </c>
      <c r="G39" s="15" t="s">
        <v>77</v>
      </c>
      <c r="H39" s="14" t="s">
        <v>391</v>
      </c>
      <c r="I39" s="15">
        <v>1.05</v>
      </c>
      <c r="J39" s="10" t="s">
        <v>21</v>
      </c>
      <c r="K39" s="14" t="s">
        <v>380</v>
      </c>
      <c r="L39" s="15">
        <v>3</v>
      </c>
      <c r="M39" s="15" t="s">
        <v>22</v>
      </c>
      <c r="N39" s="58" t="s">
        <v>563</v>
      </c>
      <c r="O39" s="15">
        <v>0.5</v>
      </c>
      <c r="P39" s="9">
        <v>25</v>
      </c>
      <c r="Q39" s="1">
        <v>18</v>
      </c>
      <c r="R39" s="10">
        <v>85</v>
      </c>
      <c r="S39" s="15" t="s">
        <v>83</v>
      </c>
    </row>
    <row r="40" spans="1:19">
      <c r="A40" s="10" t="s">
        <v>57</v>
      </c>
      <c r="B40" s="33" t="s">
        <v>366</v>
      </c>
      <c r="C40" s="15">
        <v>1</v>
      </c>
      <c r="D40" s="10" t="s">
        <v>72</v>
      </c>
      <c r="E40" s="10" t="s">
        <v>386</v>
      </c>
      <c r="F40" s="10">
        <v>1</v>
      </c>
      <c r="G40" s="15" t="s">
        <v>77</v>
      </c>
      <c r="H40" s="14" t="s">
        <v>391</v>
      </c>
      <c r="I40" s="15">
        <v>1.05</v>
      </c>
      <c r="J40" s="10" t="s">
        <v>21</v>
      </c>
      <c r="K40" s="14" t="s">
        <v>380</v>
      </c>
      <c r="L40" s="15">
        <v>3</v>
      </c>
      <c r="M40" s="15" t="s">
        <v>22</v>
      </c>
      <c r="N40" s="58" t="s">
        <v>563</v>
      </c>
      <c r="O40" s="15">
        <v>0.4</v>
      </c>
      <c r="P40" s="9">
        <v>25</v>
      </c>
      <c r="Q40" s="1">
        <v>18</v>
      </c>
      <c r="R40" s="10">
        <v>65</v>
      </c>
      <c r="S40" s="15" t="s">
        <v>84</v>
      </c>
    </row>
    <row r="41" spans="1:19">
      <c r="A41" s="10" t="s">
        <v>57</v>
      </c>
      <c r="B41" s="33" t="s">
        <v>366</v>
      </c>
      <c r="C41" s="15">
        <v>1</v>
      </c>
      <c r="D41" s="10" t="s">
        <v>72</v>
      </c>
      <c r="E41" s="10" t="s">
        <v>386</v>
      </c>
      <c r="F41" s="10">
        <v>1</v>
      </c>
      <c r="G41" s="15" t="s">
        <v>77</v>
      </c>
      <c r="H41" s="14" t="s">
        <v>391</v>
      </c>
      <c r="I41" s="15">
        <v>1.5</v>
      </c>
      <c r="J41" s="10" t="s">
        <v>21</v>
      </c>
      <c r="K41" s="14" t="s">
        <v>380</v>
      </c>
      <c r="L41" s="15">
        <v>3</v>
      </c>
      <c r="M41" s="15" t="s">
        <v>22</v>
      </c>
      <c r="N41" s="58" t="s">
        <v>563</v>
      </c>
      <c r="O41" s="15">
        <v>0.4</v>
      </c>
      <c r="P41" s="9">
        <v>25</v>
      </c>
      <c r="Q41" s="1">
        <v>16</v>
      </c>
      <c r="R41" s="10">
        <v>80</v>
      </c>
      <c r="S41" s="15" t="s">
        <v>85</v>
      </c>
    </row>
    <row r="42" spans="1:19">
      <c r="A42" s="10" t="s">
        <v>57</v>
      </c>
      <c r="B42" s="33" t="s">
        <v>366</v>
      </c>
      <c r="C42" s="15">
        <v>1</v>
      </c>
      <c r="D42" s="10" t="s">
        <v>72</v>
      </c>
      <c r="E42" s="10" t="s">
        <v>386</v>
      </c>
      <c r="F42" s="10">
        <v>1</v>
      </c>
      <c r="G42" s="15" t="s">
        <v>77</v>
      </c>
      <c r="H42" s="14" t="s">
        <v>391</v>
      </c>
      <c r="I42" s="15">
        <v>1.5</v>
      </c>
      <c r="J42" s="10" t="s">
        <v>21</v>
      </c>
      <c r="K42" s="14" t="s">
        <v>380</v>
      </c>
      <c r="L42" s="15">
        <v>5</v>
      </c>
      <c r="M42" s="15" t="s">
        <v>16</v>
      </c>
      <c r="N42" s="58" t="s">
        <v>562</v>
      </c>
      <c r="O42" s="15">
        <v>0.22</v>
      </c>
      <c r="P42" s="9">
        <v>25</v>
      </c>
      <c r="Q42" s="1">
        <v>15</v>
      </c>
      <c r="R42" s="10">
        <v>100</v>
      </c>
      <c r="S42" s="15" t="s">
        <v>86</v>
      </c>
    </row>
    <row r="43" spans="1:19">
      <c r="A43" s="10" t="s">
        <v>57</v>
      </c>
      <c r="B43" s="33" t="s">
        <v>366</v>
      </c>
      <c r="C43" s="15">
        <v>1</v>
      </c>
      <c r="D43" s="10" t="s">
        <v>72</v>
      </c>
      <c r="E43" s="10" t="s">
        <v>386</v>
      </c>
      <c r="F43" s="10">
        <v>1</v>
      </c>
      <c r="G43" s="15" t="s">
        <v>77</v>
      </c>
      <c r="H43" s="14" t="s">
        <v>391</v>
      </c>
      <c r="I43" s="15">
        <v>1.05</v>
      </c>
      <c r="J43" s="10" t="s">
        <v>21</v>
      </c>
      <c r="K43" s="14" t="s">
        <v>380</v>
      </c>
      <c r="L43" s="15">
        <v>3</v>
      </c>
      <c r="M43" s="15" t="s">
        <v>16</v>
      </c>
      <c r="N43" s="58" t="s">
        <v>562</v>
      </c>
      <c r="O43" s="15">
        <v>0.5</v>
      </c>
      <c r="P43" s="9">
        <v>25</v>
      </c>
      <c r="Q43" s="1">
        <v>18</v>
      </c>
      <c r="R43" s="10">
        <v>70</v>
      </c>
      <c r="S43" s="15" t="s">
        <v>87</v>
      </c>
    </row>
    <row r="44" spans="1:19">
      <c r="A44" s="10" t="s">
        <v>57</v>
      </c>
      <c r="B44" s="33" t="s">
        <v>366</v>
      </c>
      <c r="C44" s="15">
        <v>1</v>
      </c>
      <c r="D44" s="10" t="s">
        <v>88</v>
      </c>
      <c r="E44" s="10" t="s">
        <v>462</v>
      </c>
      <c r="F44" s="10">
        <v>1</v>
      </c>
      <c r="G44" s="15" t="s">
        <v>77</v>
      </c>
      <c r="H44" s="14" t="s">
        <v>391</v>
      </c>
      <c r="I44" s="15">
        <v>1.05</v>
      </c>
      <c r="J44" s="10" t="s">
        <v>21</v>
      </c>
      <c r="K44" s="14" t="s">
        <v>380</v>
      </c>
      <c r="L44" s="15">
        <v>3</v>
      </c>
      <c r="M44" s="15" t="s">
        <v>16</v>
      </c>
      <c r="N44" s="58" t="s">
        <v>562</v>
      </c>
      <c r="O44" s="15">
        <v>0.3</v>
      </c>
      <c r="P44" s="9">
        <v>25</v>
      </c>
      <c r="Q44" s="1">
        <v>16</v>
      </c>
      <c r="R44" s="10">
        <v>70</v>
      </c>
      <c r="S44" s="15" t="s">
        <v>89</v>
      </c>
    </row>
    <row r="45" spans="1:19">
      <c r="A45" s="10" t="s">
        <v>57</v>
      </c>
      <c r="B45" s="33" t="s">
        <v>366</v>
      </c>
      <c r="C45" s="15">
        <v>1</v>
      </c>
      <c r="D45" s="10" t="s">
        <v>90</v>
      </c>
      <c r="E45" s="10" t="s">
        <v>462</v>
      </c>
      <c r="F45" s="10">
        <v>1</v>
      </c>
      <c r="G45" s="15" t="s">
        <v>77</v>
      </c>
      <c r="H45" s="14" t="s">
        <v>391</v>
      </c>
      <c r="I45" s="15">
        <v>1.25</v>
      </c>
      <c r="J45" s="10" t="s">
        <v>21</v>
      </c>
      <c r="K45" s="14" t="s">
        <v>380</v>
      </c>
      <c r="L45" s="15">
        <v>2</v>
      </c>
      <c r="M45" s="15" t="s">
        <v>91</v>
      </c>
      <c r="N45" s="58" t="s">
        <v>562</v>
      </c>
      <c r="O45" s="15">
        <v>0.4</v>
      </c>
      <c r="P45" s="9">
        <v>25</v>
      </c>
      <c r="Q45" s="1">
        <v>4</v>
      </c>
      <c r="R45" s="10">
        <v>90</v>
      </c>
      <c r="S45" s="15" t="s">
        <v>92</v>
      </c>
    </row>
    <row r="46" spans="1:19">
      <c r="A46" s="10" t="s">
        <v>57</v>
      </c>
      <c r="B46" s="33" t="s">
        <v>366</v>
      </c>
      <c r="C46" s="15">
        <v>1</v>
      </c>
      <c r="D46" s="10" t="s">
        <v>90</v>
      </c>
      <c r="E46" s="10" t="s">
        <v>462</v>
      </c>
      <c r="F46" s="10">
        <v>1</v>
      </c>
      <c r="G46" s="15" t="s">
        <v>47</v>
      </c>
      <c r="H46" s="60" t="s">
        <v>561</v>
      </c>
      <c r="I46" s="15">
        <v>0.9</v>
      </c>
      <c r="J46" s="10" t="s">
        <v>21</v>
      </c>
      <c r="K46" s="14" t="s">
        <v>380</v>
      </c>
      <c r="L46" s="15">
        <v>3.6</v>
      </c>
      <c r="M46" s="15" t="s">
        <v>16</v>
      </c>
      <c r="N46" s="58" t="s">
        <v>562</v>
      </c>
      <c r="O46" s="15">
        <v>0.2</v>
      </c>
      <c r="P46" s="9">
        <v>25</v>
      </c>
      <c r="Q46" s="1">
        <v>15</v>
      </c>
      <c r="R46" s="10">
        <v>96</v>
      </c>
      <c r="S46" s="15" t="s">
        <v>93</v>
      </c>
    </row>
    <row r="47" spans="1:19">
      <c r="A47" s="10" t="s">
        <v>57</v>
      </c>
      <c r="B47" s="33" t="s">
        <v>366</v>
      </c>
      <c r="C47" s="15">
        <v>1</v>
      </c>
      <c r="D47" s="10" t="s">
        <v>90</v>
      </c>
      <c r="E47" s="10" t="s">
        <v>462</v>
      </c>
      <c r="F47" s="10">
        <v>1</v>
      </c>
      <c r="G47" s="15" t="s">
        <v>77</v>
      </c>
      <c r="H47" s="14" t="s">
        <v>391</v>
      </c>
      <c r="I47" s="15">
        <v>1.5</v>
      </c>
      <c r="J47" s="10" t="s">
        <v>21</v>
      </c>
      <c r="K47" s="14" t="s">
        <v>380</v>
      </c>
      <c r="L47" s="15">
        <v>5</v>
      </c>
      <c r="M47" s="15" t="s">
        <v>16</v>
      </c>
      <c r="N47" s="58" t="s">
        <v>562</v>
      </c>
      <c r="O47" s="15">
        <v>0.3</v>
      </c>
      <c r="P47" s="9">
        <v>25</v>
      </c>
      <c r="Q47" s="1">
        <v>15</v>
      </c>
      <c r="R47" s="10">
        <v>99</v>
      </c>
      <c r="S47" s="15" t="s">
        <v>94</v>
      </c>
    </row>
    <row r="48" spans="1:19">
      <c r="A48" s="26" t="s">
        <v>57</v>
      </c>
      <c r="B48" s="33" t="s">
        <v>366</v>
      </c>
      <c r="C48" s="15">
        <v>1</v>
      </c>
      <c r="D48" s="10" t="s">
        <v>95</v>
      </c>
      <c r="E48" s="10" t="s">
        <v>463</v>
      </c>
      <c r="F48" s="10">
        <v>1</v>
      </c>
      <c r="G48" s="15" t="s">
        <v>77</v>
      </c>
      <c r="H48" s="14" t="s">
        <v>391</v>
      </c>
      <c r="I48" s="15">
        <v>1.25</v>
      </c>
      <c r="J48" s="10" t="s">
        <v>21</v>
      </c>
      <c r="K48" s="14" t="s">
        <v>380</v>
      </c>
      <c r="L48" s="15">
        <v>2</v>
      </c>
      <c r="M48" s="15" t="s">
        <v>91</v>
      </c>
      <c r="N48" s="58" t="s">
        <v>562</v>
      </c>
      <c r="O48" s="15">
        <v>0.4</v>
      </c>
      <c r="P48" s="9">
        <v>25</v>
      </c>
      <c r="Q48" s="1">
        <v>4</v>
      </c>
      <c r="R48" s="10">
        <v>91</v>
      </c>
      <c r="S48" s="15" t="s">
        <v>96</v>
      </c>
    </row>
    <row r="49" spans="1:19">
      <c r="A49" s="26" t="s">
        <v>57</v>
      </c>
      <c r="B49" s="33" t="s">
        <v>366</v>
      </c>
      <c r="C49" s="15">
        <v>1</v>
      </c>
      <c r="D49" s="10" t="s">
        <v>97</v>
      </c>
      <c r="E49" s="19" t="s">
        <v>379</v>
      </c>
      <c r="F49" s="10">
        <v>1.6</v>
      </c>
      <c r="G49" s="15" t="s">
        <v>98</v>
      </c>
      <c r="H49" s="14" t="s">
        <v>392</v>
      </c>
      <c r="I49" s="15">
        <v>1.1000000000000001</v>
      </c>
      <c r="J49" s="10" t="s">
        <v>24</v>
      </c>
      <c r="K49" s="14" t="s">
        <v>380</v>
      </c>
      <c r="L49" s="15">
        <v>1.4</v>
      </c>
      <c r="M49" s="15" t="s">
        <v>22</v>
      </c>
      <c r="N49" s="58" t="s">
        <v>563</v>
      </c>
      <c r="O49" s="15">
        <v>0.24</v>
      </c>
      <c r="P49" s="9">
        <v>25</v>
      </c>
      <c r="Q49" s="1">
        <v>16</v>
      </c>
      <c r="R49" s="10">
        <v>83</v>
      </c>
      <c r="S49" s="15" t="s">
        <v>99</v>
      </c>
    </row>
    <row r="50" spans="1:19">
      <c r="A50" s="26" t="s">
        <v>57</v>
      </c>
      <c r="B50" s="33" t="s">
        <v>366</v>
      </c>
      <c r="C50" s="15">
        <v>1</v>
      </c>
      <c r="D50" s="10" t="s">
        <v>97</v>
      </c>
      <c r="E50" s="19" t="s">
        <v>379</v>
      </c>
      <c r="F50" s="10">
        <v>1.3</v>
      </c>
      <c r="G50" s="15" t="s">
        <v>68</v>
      </c>
      <c r="H50" s="15" t="s">
        <v>397</v>
      </c>
      <c r="I50" s="15">
        <v>1.2</v>
      </c>
      <c r="J50" s="44" t="s">
        <v>196</v>
      </c>
      <c r="K50" s="14" t="s">
        <v>381</v>
      </c>
      <c r="L50" s="15">
        <v>2</v>
      </c>
      <c r="M50" s="15" t="s">
        <v>40</v>
      </c>
      <c r="N50" s="14" t="s">
        <v>423</v>
      </c>
      <c r="O50" s="15">
        <v>0.6</v>
      </c>
      <c r="P50" s="9">
        <v>25</v>
      </c>
      <c r="Q50" s="1">
        <v>8</v>
      </c>
      <c r="R50" s="10">
        <v>81</v>
      </c>
      <c r="S50" s="15" t="s">
        <v>100</v>
      </c>
    </row>
    <row r="51" spans="1:19">
      <c r="A51" s="26" t="s">
        <v>57</v>
      </c>
      <c r="B51" s="33" t="s">
        <v>366</v>
      </c>
      <c r="C51" s="15">
        <v>1</v>
      </c>
      <c r="D51" s="10" t="s">
        <v>97</v>
      </c>
      <c r="E51" s="19" t="s">
        <v>379</v>
      </c>
      <c r="F51" s="10">
        <v>1.2</v>
      </c>
      <c r="G51" s="15" t="s">
        <v>47</v>
      </c>
      <c r="H51" s="60" t="s">
        <v>561</v>
      </c>
      <c r="I51" s="15">
        <v>1.3</v>
      </c>
      <c r="J51" s="10" t="s">
        <v>24</v>
      </c>
      <c r="K51" s="14" t="s">
        <v>380</v>
      </c>
      <c r="L51" s="15">
        <v>3.2</v>
      </c>
      <c r="M51" s="15" t="s">
        <v>16</v>
      </c>
      <c r="N51" s="58" t="s">
        <v>562</v>
      </c>
      <c r="O51" s="15">
        <v>0.27</v>
      </c>
      <c r="P51" s="9">
        <v>25</v>
      </c>
      <c r="Q51" s="1">
        <v>18</v>
      </c>
      <c r="R51" s="10">
        <v>91</v>
      </c>
      <c r="S51" s="15" t="s">
        <v>101</v>
      </c>
    </row>
    <row r="52" spans="1:19">
      <c r="A52" s="26" t="s">
        <v>57</v>
      </c>
      <c r="B52" s="33" t="s">
        <v>366</v>
      </c>
      <c r="C52" s="15">
        <v>1</v>
      </c>
      <c r="D52" s="10" t="s">
        <v>97</v>
      </c>
      <c r="E52" s="19" t="s">
        <v>379</v>
      </c>
      <c r="F52" s="10">
        <v>1.2</v>
      </c>
      <c r="G52" s="15" t="s">
        <v>102</v>
      </c>
      <c r="H52" s="15" t="s">
        <v>399</v>
      </c>
      <c r="I52" s="15">
        <v>1</v>
      </c>
      <c r="J52" s="10" t="s">
        <v>51</v>
      </c>
      <c r="K52" s="57" t="s">
        <v>383</v>
      </c>
      <c r="L52" s="15">
        <v>1.2</v>
      </c>
      <c r="M52" s="15" t="s">
        <v>22</v>
      </c>
      <c r="N52" s="58" t="s">
        <v>563</v>
      </c>
      <c r="O52" s="15">
        <v>0.43</v>
      </c>
      <c r="P52" s="9">
        <v>25</v>
      </c>
      <c r="Q52" s="1">
        <v>16</v>
      </c>
      <c r="R52" s="10">
        <v>74</v>
      </c>
      <c r="S52" s="15" t="s">
        <v>103</v>
      </c>
    </row>
    <row r="53" spans="1:19">
      <c r="A53" s="26" t="s">
        <v>57</v>
      </c>
      <c r="B53" s="33" t="s">
        <v>366</v>
      </c>
      <c r="C53" s="15">
        <v>1</v>
      </c>
      <c r="D53" s="10" t="s">
        <v>97</v>
      </c>
      <c r="E53" s="19" t="s">
        <v>379</v>
      </c>
      <c r="F53" s="10">
        <v>1.2</v>
      </c>
      <c r="G53" s="15" t="s">
        <v>38</v>
      </c>
      <c r="H53" s="15" t="s">
        <v>398</v>
      </c>
      <c r="I53" s="15">
        <v>1.2</v>
      </c>
      <c r="J53" s="10" t="s">
        <v>97</v>
      </c>
      <c r="K53" s="14" t="s">
        <v>379</v>
      </c>
      <c r="L53" s="15">
        <v>1</v>
      </c>
      <c r="M53" s="15" t="s">
        <v>16</v>
      </c>
      <c r="N53" s="58" t="s">
        <v>562</v>
      </c>
      <c r="O53" s="15">
        <v>0.2</v>
      </c>
      <c r="P53" s="9">
        <v>25</v>
      </c>
      <c r="Q53" s="1">
        <v>5</v>
      </c>
      <c r="R53" s="10">
        <v>85</v>
      </c>
      <c r="S53" s="15" t="s">
        <v>104</v>
      </c>
    </row>
    <row r="54" spans="1:19">
      <c r="A54" s="10" t="s">
        <v>36</v>
      </c>
      <c r="B54" s="33" t="s">
        <v>367</v>
      </c>
      <c r="C54" s="15">
        <v>1</v>
      </c>
      <c r="D54" s="10" t="s">
        <v>97</v>
      </c>
      <c r="E54" s="19" t="s">
        <v>379</v>
      </c>
      <c r="F54" s="10">
        <v>2</v>
      </c>
      <c r="G54" s="15" t="s">
        <v>105</v>
      </c>
      <c r="H54" s="14" t="s">
        <v>393</v>
      </c>
      <c r="I54" s="15">
        <v>1</v>
      </c>
      <c r="J54" s="10" t="s">
        <v>97</v>
      </c>
      <c r="K54" s="14" t="s">
        <v>379</v>
      </c>
      <c r="L54" s="15">
        <v>1</v>
      </c>
      <c r="M54" s="15" t="s">
        <v>48</v>
      </c>
      <c r="N54" s="15" t="s">
        <v>425</v>
      </c>
      <c r="O54" s="15">
        <v>0.53</v>
      </c>
      <c r="P54" s="9">
        <v>-20</v>
      </c>
      <c r="Q54" s="1">
        <v>16</v>
      </c>
      <c r="R54" s="10">
        <v>72</v>
      </c>
      <c r="S54" s="15" t="s">
        <v>106</v>
      </c>
    </row>
    <row r="55" spans="1:19">
      <c r="A55" s="10" t="s">
        <v>36</v>
      </c>
      <c r="B55" s="33" t="s">
        <v>367</v>
      </c>
      <c r="C55" s="15">
        <v>1</v>
      </c>
      <c r="D55" s="10" t="s">
        <v>97</v>
      </c>
      <c r="E55" s="19" t="s">
        <v>379</v>
      </c>
      <c r="F55" s="10">
        <v>1.2</v>
      </c>
      <c r="G55" s="15" t="s">
        <v>105</v>
      </c>
      <c r="H55" s="14" t="s">
        <v>393</v>
      </c>
      <c r="I55" s="15">
        <v>1.2</v>
      </c>
      <c r="J55" s="10" t="s">
        <v>97</v>
      </c>
      <c r="K55" s="14" t="s">
        <v>379</v>
      </c>
      <c r="L55" s="15">
        <v>1</v>
      </c>
      <c r="M55" s="15" t="s">
        <v>22</v>
      </c>
      <c r="N55" s="58" t="s">
        <v>563</v>
      </c>
      <c r="O55" s="15">
        <v>0.19</v>
      </c>
      <c r="P55" s="9">
        <v>25</v>
      </c>
      <c r="Q55" s="1">
        <v>16</v>
      </c>
      <c r="R55" s="10">
        <v>71</v>
      </c>
      <c r="S55" s="15" t="s">
        <v>107</v>
      </c>
    </row>
    <row r="56" spans="1:19">
      <c r="A56" s="10" t="s">
        <v>36</v>
      </c>
      <c r="B56" s="33" t="s">
        <v>367</v>
      </c>
      <c r="C56" s="15">
        <v>1</v>
      </c>
      <c r="D56" s="10" t="s">
        <v>97</v>
      </c>
      <c r="E56" s="19" t="s">
        <v>379</v>
      </c>
      <c r="F56" s="10">
        <v>1</v>
      </c>
      <c r="G56" s="15" t="s">
        <v>77</v>
      </c>
      <c r="H56" s="14" t="s">
        <v>391</v>
      </c>
      <c r="I56" s="15">
        <v>1</v>
      </c>
      <c r="J56" s="10" t="s">
        <v>24</v>
      </c>
      <c r="K56" s="14" t="s">
        <v>380</v>
      </c>
      <c r="L56" s="15">
        <v>1</v>
      </c>
      <c r="M56" s="15" t="s">
        <v>22</v>
      </c>
      <c r="N56" s="58" t="s">
        <v>563</v>
      </c>
      <c r="O56" s="15">
        <v>0.56999999999999995</v>
      </c>
      <c r="P56" s="9">
        <v>25</v>
      </c>
      <c r="Q56" s="1">
        <v>12</v>
      </c>
      <c r="R56" s="10">
        <v>61</v>
      </c>
      <c r="S56" s="15" t="s">
        <v>108</v>
      </c>
    </row>
    <row r="57" spans="1:19">
      <c r="A57" s="10" t="s">
        <v>36</v>
      </c>
      <c r="B57" s="33" t="s">
        <v>367</v>
      </c>
      <c r="C57" s="15">
        <v>1.2</v>
      </c>
      <c r="D57" s="10" t="s">
        <v>97</v>
      </c>
      <c r="E57" s="19" t="s">
        <v>379</v>
      </c>
      <c r="F57" s="10">
        <v>1</v>
      </c>
      <c r="G57" s="15" t="s">
        <v>109</v>
      </c>
      <c r="H57" s="15" t="s">
        <v>400</v>
      </c>
      <c r="I57" s="15">
        <v>1.1000000000000001</v>
      </c>
      <c r="J57" s="44" t="s">
        <v>196</v>
      </c>
      <c r="K57" s="14" t="s">
        <v>381</v>
      </c>
      <c r="L57" s="15">
        <v>1.1000000000000001</v>
      </c>
      <c r="M57" s="15" t="s">
        <v>110</v>
      </c>
      <c r="N57" s="15" t="s">
        <v>426</v>
      </c>
      <c r="O57" s="15">
        <v>0.4</v>
      </c>
      <c r="P57" s="9">
        <v>70</v>
      </c>
      <c r="Q57" s="1">
        <v>6</v>
      </c>
      <c r="R57" s="10">
        <v>76</v>
      </c>
      <c r="S57" s="15" t="s">
        <v>111</v>
      </c>
    </row>
    <row r="58" spans="1:19">
      <c r="A58" s="10" t="s">
        <v>36</v>
      </c>
      <c r="B58" s="33" t="s">
        <v>367</v>
      </c>
      <c r="C58" s="15">
        <v>1</v>
      </c>
      <c r="D58" s="10" t="s">
        <v>97</v>
      </c>
      <c r="E58" s="19" t="s">
        <v>379</v>
      </c>
      <c r="F58" s="10">
        <v>1</v>
      </c>
      <c r="G58" s="15" t="s">
        <v>112</v>
      </c>
      <c r="H58" s="15" t="s">
        <v>396</v>
      </c>
      <c r="I58" s="15">
        <v>1.1000000000000001</v>
      </c>
      <c r="J58" s="44" t="s">
        <v>196</v>
      </c>
      <c r="K58" s="14" t="s">
        <v>381</v>
      </c>
      <c r="L58" s="15">
        <v>5</v>
      </c>
      <c r="M58" s="15" t="s">
        <v>22</v>
      </c>
      <c r="N58" s="58" t="s">
        <v>563</v>
      </c>
      <c r="O58" s="15">
        <v>0.22</v>
      </c>
      <c r="P58" s="9">
        <v>25</v>
      </c>
      <c r="Q58" s="1">
        <v>16</v>
      </c>
      <c r="R58" s="10">
        <v>59</v>
      </c>
      <c r="S58" s="15" t="s">
        <v>113</v>
      </c>
    </row>
    <row r="59" spans="1:19">
      <c r="A59" s="10" t="s">
        <v>36</v>
      </c>
      <c r="B59" s="33" t="s">
        <v>367</v>
      </c>
      <c r="C59" s="15">
        <v>1</v>
      </c>
      <c r="D59" s="10" t="s">
        <v>97</v>
      </c>
      <c r="E59" s="19" t="s">
        <v>379</v>
      </c>
      <c r="F59" s="10">
        <v>1</v>
      </c>
      <c r="G59" s="15" t="s">
        <v>98</v>
      </c>
      <c r="H59" s="15" t="s">
        <v>392</v>
      </c>
      <c r="I59" s="15">
        <v>1.1000000000000001</v>
      </c>
      <c r="J59" s="10" t="s">
        <v>24</v>
      </c>
      <c r="K59" s="14" t="s">
        <v>380</v>
      </c>
      <c r="L59" s="15">
        <v>2.5</v>
      </c>
      <c r="M59" s="15" t="s">
        <v>16</v>
      </c>
      <c r="N59" s="58" t="s">
        <v>562</v>
      </c>
      <c r="O59" s="15">
        <v>0.5</v>
      </c>
      <c r="P59" s="9">
        <v>25</v>
      </c>
      <c r="Q59" s="1">
        <v>24</v>
      </c>
      <c r="R59" s="10">
        <v>80</v>
      </c>
      <c r="S59" s="15" t="s">
        <v>114</v>
      </c>
    </row>
    <row r="60" spans="1:19">
      <c r="A60" s="10" t="s">
        <v>36</v>
      </c>
      <c r="B60" s="33" t="s">
        <v>367</v>
      </c>
      <c r="C60" s="15">
        <v>1</v>
      </c>
      <c r="D60" s="10" t="s">
        <v>97</v>
      </c>
      <c r="E60" s="19" t="s">
        <v>379</v>
      </c>
      <c r="F60" s="10">
        <v>1.1000000000000001</v>
      </c>
      <c r="G60" s="15" t="s">
        <v>98</v>
      </c>
      <c r="H60" s="15" t="s">
        <v>392</v>
      </c>
      <c r="I60" s="15">
        <v>1.2</v>
      </c>
      <c r="J60" s="10" t="s">
        <v>24</v>
      </c>
      <c r="K60" s="14" t="s">
        <v>380</v>
      </c>
      <c r="L60" s="15">
        <v>5</v>
      </c>
      <c r="M60" s="15" t="s">
        <v>16</v>
      </c>
      <c r="N60" s="58" t="s">
        <v>562</v>
      </c>
      <c r="O60" s="15">
        <v>0.15</v>
      </c>
      <c r="P60" s="9">
        <v>25</v>
      </c>
      <c r="Q60" s="1">
        <v>18</v>
      </c>
      <c r="R60" s="10">
        <v>80</v>
      </c>
      <c r="S60" s="15" t="s">
        <v>115</v>
      </c>
    </row>
    <row r="61" spans="1:19">
      <c r="A61" s="10" t="s">
        <v>36</v>
      </c>
      <c r="B61" s="33" t="s">
        <v>367</v>
      </c>
      <c r="C61" s="15">
        <v>1</v>
      </c>
      <c r="D61" s="10" t="s">
        <v>97</v>
      </c>
      <c r="E61" s="19" t="s">
        <v>379</v>
      </c>
      <c r="F61" s="10">
        <v>1</v>
      </c>
      <c r="G61" s="15" t="s">
        <v>112</v>
      </c>
      <c r="H61" s="15" t="s">
        <v>396</v>
      </c>
      <c r="I61" s="15">
        <v>1.5</v>
      </c>
      <c r="J61" s="10" t="s">
        <v>51</v>
      </c>
      <c r="K61" s="15" t="s">
        <v>383</v>
      </c>
      <c r="L61" s="15">
        <v>2</v>
      </c>
      <c r="M61" s="15" t="s">
        <v>16</v>
      </c>
      <c r="N61" s="58" t="s">
        <v>562</v>
      </c>
      <c r="O61" s="15">
        <v>0.23</v>
      </c>
      <c r="P61" s="9">
        <v>25</v>
      </c>
      <c r="Q61" s="1">
        <v>16</v>
      </c>
      <c r="R61" s="10">
        <v>89</v>
      </c>
      <c r="S61" s="15" t="s">
        <v>116</v>
      </c>
    </row>
    <row r="62" spans="1:19">
      <c r="A62" s="10" t="s">
        <v>36</v>
      </c>
      <c r="B62" s="33" t="s">
        <v>367</v>
      </c>
      <c r="C62" s="15">
        <v>1.1000000000000001</v>
      </c>
      <c r="D62" s="10" t="s">
        <v>97</v>
      </c>
      <c r="E62" s="19" t="s">
        <v>379</v>
      </c>
      <c r="F62" s="10">
        <v>1</v>
      </c>
      <c r="G62" s="15" t="s">
        <v>77</v>
      </c>
      <c r="H62" s="14" t="s">
        <v>391</v>
      </c>
      <c r="I62" s="15">
        <v>1.2</v>
      </c>
      <c r="J62" s="44" t="s">
        <v>196</v>
      </c>
      <c r="K62" s="14" t="s">
        <v>381</v>
      </c>
      <c r="L62" s="15">
        <v>1.3</v>
      </c>
      <c r="M62" s="15" t="s">
        <v>22</v>
      </c>
      <c r="N62" s="58" t="s">
        <v>563</v>
      </c>
      <c r="O62" s="15">
        <v>0.1</v>
      </c>
      <c r="P62" s="9">
        <v>25</v>
      </c>
      <c r="Q62" s="1">
        <v>16</v>
      </c>
      <c r="R62" s="10">
        <v>80</v>
      </c>
      <c r="S62" s="15" t="s">
        <v>117</v>
      </c>
    </row>
    <row r="63" spans="1:19">
      <c r="A63" s="10" t="s">
        <v>36</v>
      </c>
      <c r="B63" s="33" t="s">
        <v>367</v>
      </c>
      <c r="C63" s="15">
        <v>1</v>
      </c>
      <c r="D63" s="10" t="s">
        <v>97</v>
      </c>
      <c r="E63" s="19" t="s">
        <v>379</v>
      </c>
      <c r="F63" s="10">
        <v>1</v>
      </c>
      <c r="G63" s="15" t="s">
        <v>77</v>
      </c>
      <c r="H63" s="14" t="s">
        <v>391</v>
      </c>
      <c r="I63" s="15">
        <v>1</v>
      </c>
      <c r="J63" s="10" t="s">
        <v>24</v>
      </c>
      <c r="K63" s="14" t="s">
        <v>380</v>
      </c>
      <c r="L63" s="15">
        <v>2</v>
      </c>
      <c r="M63" s="15" t="s">
        <v>22</v>
      </c>
      <c r="N63" s="58" t="s">
        <v>563</v>
      </c>
      <c r="O63" s="15">
        <v>0.15</v>
      </c>
      <c r="P63" s="9">
        <v>25</v>
      </c>
      <c r="Q63" s="1">
        <v>3</v>
      </c>
      <c r="R63" s="10">
        <v>86</v>
      </c>
      <c r="S63" s="15" t="s">
        <v>118</v>
      </c>
    </row>
    <row r="64" spans="1:19" s="97" customFormat="1">
      <c r="A64" s="10" t="s">
        <v>119</v>
      </c>
      <c r="B64" s="15" t="s">
        <v>369</v>
      </c>
      <c r="C64" s="15">
        <v>1</v>
      </c>
      <c r="D64" s="10" t="s">
        <v>120</v>
      </c>
      <c r="E64" s="10" t="s">
        <v>457</v>
      </c>
      <c r="F64" s="10">
        <v>1</v>
      </c>
      <c r="G64" s="15" t="s">
        <v>439</v>
      </c>
      <c r="H64" s="15" t="s">
        <v>403</v>
      </c>
      <c r="I64" s="15">
        <v>1</v>
      </c>
      <c r="J64" s="10" t="s">
        <v>121</v>
      </c>
      <c r="K64" s="15" t="s">
        <v>121</v>
      </c>
      <c r="L64" s="15">
        <v>0</v>
      </c>
      <c r="M64" s="17" t="s">
        <v>48</v>
      </c>
      <c r="N64" s="15" t="s">
        <v>425</v>
      </c>
      <c r="O64" s="15">
        <v>0</v>
      </c>
      <c r="P64" s="9">
        <v>0</v>
      </c>
      <c r="Q64" s="1">
        <f>15/60</f>
        <v>0.25</v>
      </c>
      <c r="R64" s="10">
        <v>99</v>
      </c>
      <c r="S64" s="15" t="s">
        <v>122</v>
      </c>
    </row>
    <row r="65" spans="1:19" s="97" customFormat="1">
      <c r="A65" s="10" t="s">
        <v>119</v>
      </c>
      <c r="B65" s="15" t="s">
        <v>369</v>
      </c>
      <c r="C65" s="15">
        <v>1</v>
      </c>
      <c r="D65" s="10" t="s">
        <v>120</v>
      </c>
      <c r="E65" s="10" t="s">
        <v>457</v>
      </c>
      <c r="F65" s="10">
        <v>1</v>
      </c>
      <c r="G65" s="15" t="s">
        <v>123</v>
      </c>
      <c r="H65" s="15" t="s">
        <v>402</v>
      </c>
      <c r="I65" s="15">
        <v>1</v>
      </c>
      <c r="J65" s="10" t="s">
        <v>121</v>
      </c>
      <c r="K65" s="15" t="s">
        <v>121</v>
      </c>
      <c r="L65" s="15">
        <v>0</v>
      </c>
      <c r="M65" s="15" t="s">
        <v>124</v>
      </c>
      <c r="N65" s="15" t="s">
        <v>428</v>
      </c>
      <c r="O65" s="15">
        <v>0</v>
      </c>
      <c r="P65" s="9">
        <v>25</v>
      </c>
      <c r="Q65" s="1">
        <f>5/60</f>
        <v>8.3333333333333329E-2</v>
      </c>
      <c r="R65" s="10">
        <v>98</v>
      </c>
      <c r="S65" s="15" t="s">
        <v>125</v>
      </c>
    </row>
    <row r="66" spans="1:19" s="97" customFormat="1">
      <c r="A66" s="10" t="s">
        <v>119</v>
      </c>
      <c r="B66" s="15" t="s">
        <v>369</v>
      </c>
      <c r="C66" s="15">
        <v>1</v>
      </c>
      <c r="D66" s="10" t="s">
        <v>120</v>
      </c>
      <c r="E66" s="10" t="s">
        <v>457</v>
      </c>
      <c r="F66" s="10">
        <v>1</v>
      </c>
      <c r="G66" s="15" t="s">
        <v>121</v>
      </c>
      <c r="H66" s="15" t="s">
        <v>121</v>
      </c>
      <c r="I66" s="15">
        <v>0</v>
      </c>
      <c r="J66" s="10" t="s">
        <v>121</v>
      </c>
      <c r="K66" s="15" t="s">
        <v>121</v>
      </c>
      <c r="L66" s="15">
        <v>0</v>
      </c>
      <c r="M66" s="15" t="s">
        <v>126</v>
      </c>
      <c r="N66" s="15" t="s">
        <v>428</v>
      </c>
      <c r="O66" s="15">
        <v>0</v>
      </c>
      <c r="P66" s="9">
        <v>25</v>
      </c>
      <c r="Q66" s="1">
        <f>5/60</f>
        <v>8.3333333333333329E-2</v>
      </c>
      <c r="R66" s="10">
        <v>97</v>
      </c>
      <c r="S66" s="15" t="s">
        <v>127</v>
      </c>
    </row>
    <row r="67" spans="1:19" s="97" customFormat="1">
      <c r="A67" s="10" t="s">
        <v>119</v>
      </c>
      <c r="B67" s="15" t="s">
        <v>369</v>
      </c>
      <c r="C67" s="15">
        <v>1</v>
      </c>
      <c r="D67" s="10" t="s">
        <v>120</v>
      </c>
      <c r="E67" s="10" t="s">
        <v>457</v>
      </c>
      <c r="F67" s="10">
        <v>1</v>
      </c>
      <c r="G67" s="15" t="s">
        <v>128</v>
      </c>
      <c r="H67" s="15" t="s">
        <v>404</v>
      </c>
      <c r="I67" s="15">
        <v>1</v>
      </c>
      <c r="J67" s="10" t="s">
        <v>121</v>
      </c>
      <c r="K67" s="15" t="s">
        <v>121</v>
      </c>
      <c r="L67" s="15">
        <v>0</v>
      </c>
      <c r="M67" s="17" t="s">
        <v>22</v>
      </c>
      <c r="N67" s="58" t="s">
        <v>563</v>
      </c>
      <c r="O67" s="15">
        <v>0</v>
      </c>
      <c r="P67" s="9">
        <v>25</v>
      </c>
      <c r="Q67" s="1">
        <f>30/60</f>
        <v>0.5</v>
      </c>
      <c r="R67" s="10">
        <v>96</v>
      </c>
      <c r="S67" s="15" t="s">
        <v>129</v>
      </c>
    </row>
    <row r="68" spans="1:19" s="97" customFormat="1">
      <c r="A68" s="10" t="s">
        <v>119</v>
      </c>
      <c r="B68" s="15" t="s">
        <v>369</v>
      </c>
      <c r="C68" s="15">
        <v>1</v>
      </c>
      <c r="D68" s="10" t="s">
        <v>120</v>
      </c>
      <c r="E68" s="10" t="s">
        <v>457</v>
      </c>
      <c r="F68" s="10">
        <v>1</v>
      </c>
      <c r="G68" s="15" t="s">
        <v>59</v>
      </c>
      <c r="H68" s="14" t="s">
        <v>390</v>
      </c>
      <c r="I68" s="15">
        <v>1</v>
      </c>
      <c r="J68" s="10" t="s">
        <v>121</v>
      </c>
      <c r="K68" s="15" t="s">
        <v>121</v>
      </c>
      <c r="L68" s="15">
        <v>0</v>
      </c>
      <c r="M68" s="17" t="s">
        <v>16</v>
      </c>
      <c r="N68" s="58" t="s">
        <v>562</v>
      </c>
      <c r="O68" s="15">
        <v>0</v>
      </c>
      <c r="P68" s="9">
        <v>25</v>
      </c>
      <c r="Q68" s="1">
        <v>16</v>
      </c>
      <c r="R68" s="10">
        <v>95</v>
      </c>
      <c r="S68" s="15" t="s">
        <v>130</v>
      </c>
    </row>
    <row r="69" spans="1:19" s="97" customFormat="1">
      <c r="A69" s="10" t="s">
        <v>119</v>
      </c>
      <c r="B69" s="15" t="s">
        <v>369</v>
      </c>
      <c r="C69" s="15">
        <v>1</v>
      </c>
      <c r="D69" s="10" t="s">
        <v>120</v>
      </c>
      <c r="E69" s="10" t="s">
        <v>457</v>
      </c>
      <c r="F69" s="10">
        <v>1</v>
      </c>
      <c r="G69" s="15" t="s">
        <v>131</v>
      </c>
      <c r="H69" s="15" t="s">
        <v>405</v>
      </c>
      <c r="I69" s="15">
        <v>1</v>
      </c>
      <c r="J69" s="10" t="s">
        <v>121</v>
      </c>
      <c r="K69" s="15" t="s">
        <v>121</v>
      </c>
      <c r="L69" s="15">
        <v>0</v>
      </c>
      <c r="M69" s="17" t="s">
        <v>48</v>
      </c>
      <c r="N69" s="15" t="s">
        <v>425</v>
      </c>
      <c r="O69" s="15">
        <v>0</v>
      </c>
      <c r="P69" s="9">
        <v>25</v>
      </c>
      <c r="Q69" s="1">
        <f>10/60</f>
        <v>0.16666666666666666</v>
      </c>
      <c r="R69" s="10">
        <v>91</v>
      </c>
      <c r="S69" s="15" t="s">
        <v>132</v>
      </c>
    </row>
    <row r="70" spans="1:19" s="97" customFormat="1">
      <c r="A70" s="10" t="s">
        <v>119</v>
      </c>
      <c r="B70" s="15" t="s">
        <v>369</v>
      </c>
      <c r="C70" s="15">
        <v>1</v>
      </c>
      <c r="D70" s="10" t="s">
        <v>120</v>
      </c>
      <c r="E70" s="10" t="s">
        <v>457</v>
      </c>
      <c r="F70" s="10">
        <v>1</v>
      </c>
      <c r="G70" s="15" t="s">
        <v>128</v>
      </c>
      <c r="H70" s="15" t="s">
        <v>404</v>
      </c>
      <c r="I70" s="15">
        <v>1</v>
      </c>
      <c r="J70" s="10" t="s">
        <v>121</v>
      </c>
      <c r="K70" s="15" t="s">
        <v>121</v>
      </c>
      <c r="L70" s="15">
        <v>0</v>
      </c>
      <c r="M70" s="17" t="s">
        <v>22</v>
      </c>
      <c r="N70" s="58" t="s">
        <v>563</v>
      </c>
      <c r="O70" s="15">
        <v>0</v>
      </c>
      <c r="P70" s="9">
        <v>25</v>
      </c>
      <c r="Q70" s="1">
        <f>30/60</f>
        <v>0.5</v>
      </c>
      <c r="R70" s="10">
        <v>90</v>
      </c>
      <c r="S70" s="15" t="s">
        <v>133</v>
      </c>
    </row>
    <row r="71" spans="1:19" s="97" customFormat="1">
      <c r="A71" s="10" t="s">
        <v>119</v>
      </c>
      <c r="B71" s="15" t="s">
        <v>369</v>
      </c>
      <c r="C71" s="15">
        <v>1</v>
      </c>
      <c r="D71" s="10" t="s">
        <v>120</v>
      </c>
      <c r="E71" s="10" t="s">
        <v>457</v>
      </c>
      <c r="F71" s="10">
        <v>1</v>
      </c>
      <c r="G71" s="15" t="s">
        <v>128</v>
      </c>
      <c r="H71" s="15" t="s">
        <v>404</v>
      </c>
      <c r="I71" s="15">
        <v>1</v>
      </c>
      <c r="J71" s="10" t="s">
        <v>121</v>
      </c>
      <c r="K71" s="15" t="s">
        <v>121</v>
      </c>
      <c r="L71" s="15">
        <v>0</v>
      </c>
      <c r="M71" s="17" t="s">
        <v>22</v>
      </c>
      <c r="N71" s="58" t="s">
        <v>563</v>
      </c>
      <c r="O71" s="15">
        <v>0</v>
      </c>
      <c r="P71" s="9">
        <v>25</v>
      </c>
      <c r="Q71" s="1">
        <f>30/60</f>
        <v>0.5</v>
      </c>
      <c r="R71" s="10">
        <v>90</v>
      </c>
      <c r="S71" s="15" t="s">
        <v>134</v>
      </c>
    </row>
    <row r="72" spans="1:19" s="97" customFormat="1">
      <c r="A72" s="10" t="s">
        <v>119</v>
      </c>
      <c r="B72" s="15" t="s">
        <v>369</v>
      </c>
      <c r="C72" s="15">
        <v>1</v>
      </c>
      <c r="D72" s="10" t="s">
        <v>120</v>
      </c>
      <c r="E72" s="10" t="s">
        <v>457</v>
      </c>
      <c r="F72" s="10">
        <v>1</v>
      </c>
      <c r="G72" s="15" t="s">
        <v>135</v>
      </c>
      <c r="H72" s="15" t="s">
        <v>406</v>
      </c>
      <c r="I72" s="15">
        <v>1</v>
      </c>
      <c r="J72" s="10" t="s">
        <v>121</v>
      </c>
      <c r="K72" s="15" t="s">
        <v>121</v>
      </c>
      <c r="L72" s="15">
        <v>0</v>
      </c>
      <c r="M72" s="15" t="s">
        <v>136</v>
      </c>
      <c r="N72" s="15" t="s">
        <v>432</v>
      </c>
      <c r="O72" s="15">
        <v>0</v>
      </c>
      <c r="P72" s="9">
        <v>155</v>
      </c>
      <c r="Q72" s="1">
        <v>15</v>
      </c>
      <c r="R72" s="10">
        <v>83</v>
      </c>
      <c r="S72" s="15" t="s">
        <v>137</v>
      </c>
    </row>
    <row r="73" spans="1:19" s="97" customFormat="1">
      <c r="A73" s="10" t="s">
        <v>119</v>
      </c>
      <c r="B73" s="15" t="s">
        <v>369</v>
      </c>
      <c r="C73" s="15">
        <v>1</v>
      </c>
      <c r="D73" s="10" t="s">
        <v>120</v>
      </c>
      <c r="E73" s="10" t="s">
        <v>457</v>
      </c>
      <c r="F73" s="10">
        <v>1</v>
      </c>
      <c r="G73" s="15" t="s">
        <v>138</v>
      </c>
      <c r="H73" s="15" t="s">
        <v>407</v>
      </c>
      <c r="I73" s="15">
        <v>1</v>
      </c>
      <c r="J73" s="10" t="s">
        <v>121</v>
      </c>
      <c r="K73" s="15" t="s">
        <v>121</v>
      </c>
      <c r="L73" s="15">
        <v>0</v>
      </c>
      <c r="M73" s="15" t="s">
        <v>139</v>
      </c>
      <c r="N73" s="15" t="s">
        <v>429</v>
      </c>
      <c r="O73" s="15">
        <v>0</v>
      </c>
      <c r="P73" s="9">
        <v>25</v>
      </c>
      <c r="Q73" s="1">
        <v>16</v>
      </c>
      <c r="R73" s="10">
        <v>80</v>
      </c>
      <c r="S73" s="15" t="s">
        <v>140</v>
      </c>
    </row>
    <row r="74" spans="1:19" s="97" customFormat="1">
      <c r="A74" s="10" t="s">
        <v>119</v>
      </c>
      <c r="B74" s="15" t="s">
        <v>369</v>
      </c>
      <c r="C74" s="15">
        <v>1</v>
      </c>
      <c r="D74" s="10" t="s">
        <v>120</v>
      </c>
      <c r="E74" s="10" t="s">
        <v>457</v>
      </c>
      <c r="F74" s="10">
        <v>1</v>
      </c>
      <c r="G74" s="15" t="s">
        <v>141</v>
      </c>
      <c r="H74" s="15" t="s">
        <v>408</v>
      </c>
      <c r="I74" s="15">
        <v>1</v>
      </c>
      <c r="J74" s="10" t="s">
        <v>142</v>
      </c>
      <c r="K74" s="15" t="s">
        <v>121</v>
      </c>
      <c r="L74" s="15">
        <v>0</v>
      </c>
      <c r="M74" s="15" t="s">
        <v>124</v>
      </c>
      <c r="N74" s="15" t="s">
        <v>428</v>
      </c>
      <c r="O74" s="15">
        <v>0</v>
      </c>
      <c r="P74" s="9">
        <v>110</v>
      </c>
      <c r="Q74" s="1">
        <v>4</v>
      </c>
      <c r="R74" s="10">
        <v>59</v>
      </c>
      <c r="S74" s="15" t="s">
        <v>143</v>
      </c>
    </row>
    <row r="75" spans="1:19" s="97" customFormat="1" ht="18">
      <c r="A75" s="63" t="s">
        <v>119</v>
      </c>
      <c r="B75" s="62" t="s">
        <v>369</v>
      </c>
      <c r="C75" s="62">
        <v>1</v>
      </c>
      <c r="D75" s="63" t="s">
        <v>120</v>
      </c>
      <c r="E75" s="63" t="s">
        <v>457</v>
      </c>
      <c r="F75" s="63">
        <v>1</v>
      </c>
      <c r="G75" s="74" t="s">
        <v>409</v>
      </c>
      <c r="H75" s="62" t="s">
        <v>572</v>
      </c>
      <c r="I75" s="62">
        <v>1</v>
      </c>
      <c r="J75" s="63" t="s">
        <v>121</v>
      </c>
      <c r="K75" s="62" t="s">
        <v>121</v>
      </c>
      <c r="L75" s="62">
        <v>0</v>
      </c>
      <c r="M75" s="62" t="s">
        <v>91</v>
      </c>
      <c r="N75" s="65" t="s">
        <v>562</v>
      </c>
      <c r="O75" s="62">
        <v>0</v>
      </c>
      <c r="P75" s="66">
        <v>25</v>
      </c>
      <c r="Q75" s="67">
        <v>12</v>
      </c>
      <c r="R75" s="63">
        <v>51</v>
      </c>
      <c r="S75" s="62" t="s">
        <v>144</v>
      </c>
    </row>
    <row r="76" spans="1:19" s="97" customFormat="1">
      <c r="A76" s="10" t="s">
        <v>119</v>
      </c>
      <c r="B76" s="15" t="s">
        <v>369</v>
      </c>
      <c r="C76" s="15">
        <v>1</v>
      </c>
      <c r="D76" s="10" t="s">
        <v>145</v>
      </c>
      <c r="E76" s="10" t="s">
        <v>464</v>
      </c>
      <c r="F76" s="10">
        <v>1</v>
      </c>
      <c r="G76" s="15" t="s">
        <v>121</v>
      </c>
      <c r="H76" s="15" t="s">
        <v>121</v>
      </c>
      <c r="I76" s="15">
        <v>0</v>
      </c>
      <c r="J76" s="10" t="s">
        <v>121</v>
      </c>
      <c r="K76" s="15" t="s">
        <v>121</v>
      </c>
      <c r="L76" s="15">
        <v>0</v>
      </c>
      <c r="M76" s="17" t="s">
        <v>22</v>
      </c>
      <c r="N76" s="14" t="s">
        <v>563</v>
      </c>
      <c r="O76" s="15">
        <v>0</v>
      </c>
      <c r="P76" s="9">
        <v>25</v>
      </c>
      <c r="Q76" s="1">
        <f>30/60</f>
        <v>0.5</v>
      </c>
      <c r="R76" s="10">
        <v>88</v>
      </c>
      <c r="S76" s="15" t="s">
        <v>146</v>
      </c>
    </row>
    <row r="77" spans="1:19" s="97" customFormat="1">
      <c r="A77" s="10" t="s">
        <v>119</v>
      </c>
      <c r="B77" s="15" t="s">
        <v>369</v>
      </c>
      <c r="C77" s="15">
        <v>1</v>
      </c>
      <c r="D77" s="10" t="s">
        <v>145</v>
      </c>
      <c r="E77" s="10" t="s">
        <v>464</v>
      </c>
      <c r="F77" s="10">
        <v>1</v>
      </c>
      <c r="G77" s="15" t="s">
        <v>121</v>
      </c>
      <c r="H77" s="15" t="s">
        <v>121</v>
      </c>
      <c r="I77" s="15">
        <v>0</v>
      </c>
      <c r="J77" s="10" t="s">
        <v>121</v>
      </c>
      <c r="K77" s="15" t="s">
        <v>121</v>
      </c>
      <c r="L77" s="15">
        <v>0</v>
      </c>
      <c r="M77" s="17" t="s">
        <v>22</v>
      </c>
      <c r="N77" s="58" t="s">
        <v>563</v>
      </c>
      <c r="O77" s="15">
        <v>0</v>
      </c>
      <c r="P77" s="9">
        <v>25</v>
      </c>
      <c r="Q77" s="1">
        <f>30/60</f>
        <v>0.5</v>
      </c>
      <c r="R77" s="10">
        <v>86</v>
      </c>
      <c r="S77" s="15" t="s">
        <v>147</v>
      </c>
    </row>
    <row r="78" spans="1:19" s="97" customFormat="1">
      <c r="A78" s="10" t="s">
        <v>119</v>
      </c>
      <c r="B78" s="15" t="s">
        <v>369</v>
      </c>
      <c r="C78" s="15">
        <v>1</v>
      </c>
      <c r="D78" s="10" t="s">
        <v>145</v>
      </c>
      <c r="E78" s="10" t="s">
        <v>464</v>
      </c>
      <c r="F78" s="10">
        <v>1</v>
      </c>
      <c r="G78" s="15" t="s">
        <v>121</v>
      </c>
      <c r="H78" s="15" t="s">
        <v>121</v>
      </c>
      <c r="I78" s="15">
        <v>0</v>
      </c>
      <c r="J78" s="10" t="s">
        <v>121</v>
      </c>
      <c r="K78" s="15" t="s">
        <v>121</v>
      </c>
      <c r="L78" s="15">
        <v>0</v>
      </c>
      <c r="M78" s="17" t="s">
        <v>40</v>
      </c>
      <c r="N78" s="14" t="s">
        <v>423</v>
      </c>
      <c r="O78" s="15">
        <v>0</v>
      </c>
      <c r="P78" s="9">
        <v>100</v>
      </c>
      <c r="Q78" s="1">
        <v>10</v>
      </c>
      <c r="R78" s="10">
        <v>86</v>
      </c>
      <c r="S78" s="15" t="s">
        <v>148</v>
      </c>
    </row>
    <row r="79" spans="1:19" s="97" customFormat="1">
      <c r="A79" s="10" t="s">
        <v>119</v>
      </c>
      <c r="B79" s="15" t="s">
        <v>369</v>
      </c>
      <c r="C79" s="15">
        <v>0.1</v>
      </c>
      <c r="D79" s="10" t="s">
        <v>145</v>
      </c>
      <c r="E79" s="10" t="s">
        <v>464</v>
      </c>
      <c r="F79" s="10">
        <v>0.15</v>
      </c>
      <c r="G79" s="17" t="s">
        <v>59</v>
      </c>
      <c r="H79" s="16" t="s">
        <v>390</v>
      </c>
      <c r="I79" s="15">
        <v>1.5</v>
      </c>
      <c r="J79" s="10" t="s">
        <v>121</v>
      </c>
      <c r="K79" s="15" t="s">
        <v>121</v>
      </c>
      <c r="L79" s="15">
        <v>0</v>
      </c>
      <c r="M79" s="17" t="s">
        <v>91</v>
      </c>
      <c r="N79" s="58" t="s">
        <v>562</v>
      </c>
      <c r="O79" s="15">
        <v>0</v>
      </c>
      <c r="P79" s="9">
        <v>25</v>
      </c>
      <c r="Q79" s="1">
        <v>48</v>
      </c>
      <c r="R79" s="10">
        <v>89</v>
      </c>
      <c r="S79" s="15" t="s">
        <v>150</v>
      </c>
    </row>
    <row r="80" spans="1:19" s="98" customFormat="1">
      <c r="A80" s="10" t="s">
        <v>119</v>
      </c>
      <c r="B80" s="15" t="s">
        <v>369</v>
      </c>
      <c r="C80" s="15">
        <v>1</v>
      </c>
      <c r="D80" s="10" t="s">
        <v>145</v>
      </c>
      <c r="E80" s="10" t="s">
        <v>464</v>
      </c>
      <c r="F80" s="10">
        <v>1</v>
      </c>
      <c r="G80" s="17" t="s">
        <v>121</v>
      </c>
      <c r="H80" s="17" t="s">
        <v>121</v>
      </c>
      <c r="I80" s="17">
        <v>0</v>
      </c>
      <c r="J80" s="26" t="s">
        <v>24</v>
      </c>
      <c r="K80" s="17">
        <v>2.2000000000000002</v>
      </c>
      <c r="L80" s="15">
        <v>0</v>
      </c>
      <c r="M80" s="17" t="s">
        <v>91</v>
      </c>
      <c r="N80" s="58" t="s">
        <v>562</v>
      </c>
      <c r="O80" s="15">
        <v>2</v>
      </c>
      <c r="P80" s="9">
        <v>25</v>
      </c>
      <c r="Q80" s="1">
        <v>3</v>
      </c>
      <c r="R80" s="10">
        <v>88</v>
      </c>
      <c r="S80" s="15" t="s">
        <v>151</v>
      </c>
    </row>
    <row r="81" spans="1:19" s="98" customFormat="1">
      <c r="A81" s="10" t="s">
        <v>119</v>
      </c>
      <c r="B81" s="15" t="s">
        <v>369</v>
      </c>
      <c r="C81" s="15">
        <v>4</v>
      </c>
      <c r="D81" s="10" t="s">
        <v>145</v>
      </c>
      <c r="E81" s="10" t="s">
        <v>464</v>
      </c>
      <c r="F81" s="10">
        <v>4</v>
      </c>
      <c r="G81" s="15" t="s">
        <v>152</v>
      </c>
      <c r="H81" s="15" t="s">
        <v>410</v>
      </c>
      <c r="I81" s="15">
        <v>0.2</v>
      </c>
      <c r="J81" s="10" t="s">
        <v>121</v>
      </c>
      <c r="K81" s="15" t="s">
        <v>121</v>
      </c>
      <c r="L81" s="15">
        <v>0</v>
      </c>
      <c r="M81" s="15" t="s">
        <v>153</v>
      </c>
      <c r="N81" s="15" t="s">
        <v>430</v>
      </c>
      <c r="O81" s="15">
        <v>5</v>
      </c>
      <c r="P81" s="9">
        <v>25</v>
      </c>
      <c r="Q81" s="1">
        <v>28</v>
      </c>
      <c r="R81" s="10">
        <v>88</v>
      </c>
      <c r="S81" s="15" t="s">
        <v>154</v>
      </c>
    </row>
    <row r="82" spans="1:19" s="98" customFormat="1">
      <c r="A82" s="10" t="s">
        <v>119</v>
      </c>
      <c r="B82" s="15" t="s">
        <v>369</v>
      </c>
      <c r="C82" s="15">
        <v>5</v>
      </c>
      <c r="D82" s="10" t="s">
        <v>145</v>
      </c>
      <c r="E82" s="10" t="s">
        <v>464</v>
      </c>
      <c r="F82" s="10">
        <v>5</v>
      </c>
      <c r="G82" s="17" t="s">
        <v>121</v>
      </c>
      <c r="H82" s="17" t="s">
        <v>121</v>
      </c>
      <c r="I82" s="15">
        <v>0</v>
      </c>
      <c r="J82" s="10" t="s">
        <v>155</v>
      </c>
      <c r="K82" s="14" t="s">
        <v>381</v>
      </c>
      <c r="L82" s="15">
        <v>5</v>
      </c>
      <c r="M82" s="17" t="s">
        <v>48</v>
      </c>
      <c r="N82" s="15" t="s">
        <v>425</v>
      </c>
      <c r="O82" s="15">
        <v>50</v>
      </c>
      <c r="P82" s="9">
        <v>25</v>
      </c>
      <c r="Q82" s="1">
        <v>1</v>
      </c>
      <c r="R82" s="10">
        <v>85</v>
      </c>
      <c r="S82" s="15" t="s">
        <v>156</v>
      </c>
    </row>
    <row r="83" spans="1:19" s="98" customFormat="1">
      <c r="A83" s="10" t="s">
        <v>119</v>
      </c>
      <c r="B83" s="15" t="s">
        <v>369</v>
      </c>
      <c r="C83" s="15">
        <v>1</v>
      </c>
      <c r="D83" s="10" t="s">
        <v>145</v>
      </c>
      <c r="E83" s="10" t="s">
        <v>464</v>
      </c>
      <c r="F83" s="10">
        <v>2</v>
      </c>
      <c r="G83" s="17" t="s">
        <v>121</v>
      </c>
      <c r="H83" s="17" t="s">
        <v>121</v>
      </c>
      <c r="I83" s="15">
        <v>0</v>
      </c>
      <c r="J83" s="10" t="s">
        <v>121</v>
      </c>
      <c r="K83" s="15" t="s">
        <v>121</v>
      </c>
      <c r="L83" s="15">
        <v>0</v>
      </c>
      <c r="M83" s="15" t="s">
        <v>40</v>
      </c>
      <c r="N83" s="14" t="s">
        <v>423</v>
      </c>
      <c r="O83" s="15">
        <v>8.5</v>
      </c>
      <c r="P83" s="9">
        <v>25</v>
      </c>
      <c r="Q83" s="1">
        <v>4</v>
      </c>
      <c r="R83" s="10">
        <v>82</v>
      </c>
      <c r="S83" s="15" t="s">
        <v>157</v>
      </c>
    </row>
    <row r="84" spans="1:19" s="98" customFormat="1">
      <c r="A84" s="10" t="s">
        <v>119</v>
      </c>
      <c r="B84" s="15" t="s">
        <v>369</v>
      </c>
      <c r="C84" s="15">
        <v>1.5</v>
      </c>
      <c r="D84" s="10" t="s">
        <v>145</v>
      </c>
      <c r="E84" s="10" t="s">
        <v>464</v>
      </c>
      <c r="F84" s="10">
        <v>1</v>
      </c>
      <c r="G84" s="15" t="s">
        <v>158</v>
      </c>
      <c r="H84" s="15" t="s">
        <v>411</v>
      </c>
      <c r="I84" s="15">
        <v>0.2</v>
      </c>
      <c r="J84" s="10" t="s">
        <v>121</v>
      </c>
      <c r="K84" s="15" t="s">
        <v>121</v>
      </c>
      <c r="L84" s="15">
        <v>0</v>
      </c>
      <c r="M84" s="15" t="s">
        <v>40</v>
      </c>
      <c r="N84" s="14" t="s">
        <v>423</v>
      </c>
      <c r="O84" s="15">
        <v>0.6</v>
      </c>
      <c r="P84" s="9">
        <v>70</v>
      </c>
      <c r="Q84" s="1">
        <v>24</v>
      </c>
      <c r="R84" s="10">
        <v>82</v>
      </c>
      <c r="S84" s="15" t="s">
        <v>159</v>
      </c>
    </row>
    <row r="85" spans="1:19" s="98" customFormat="1">
      <c r="A85" s="10" t="s">
        <v>119</v>
      </c>
      <c r="B85" s="15" t="s">
        <v>369</v>
      </c>
      <c r="C85" s="15">
        <v>1</v>
      </c>
      <c r="D85" s="10" t="s">
        <v>145</v>
      </c>
      <c r="E85" s="10" t="s">
        <v>464</v>
      </c>
      <c r="F85" s="10">
        <v>2</v>
      </c>
      <c r="G85" s="15" t="s">
        <v>440</v>
      </c>
      <c r="H85" s="15" t="s">
        <v>412</v>
      </c>
      <c r="I85" s="15">
        <v>1.25</v>
      </c>
      <c r="J85" s="10" t="s">
        <v>24</v>
      </c>
      <c r="K85" s="14" t="s">
        <v>380</v>
      </c>
      <c r="L85" s="15">
        <v>3.125</v>
      </c>
      <c r="M85" s="15" t="s">
        <v>22</v>
      </c>
      <c r="N85" s="58" t="s">
        <v>563</v>
      </c>
      <c r="O85" s="15">
        <v>6.4</v>
      </c>
      <c r="P85" s="9">
        <v>25</v>
      </c>
      <c r="Q85" s="1">
        <v>1</v>
      </c>
      <c r="R85" s="10">
        <v>81</v>
      </c>
      <c r="S85" s="15" t="s">
        <v>160</v>
      </c>
    </row>
    <row r="86" spans="1:19" s="98" customFormat="1">
      <c r="A86" s="10" t="s">
        <v>119</v>
      </c>
      <c r="B86" s="15" t="s">
        <v>369</v>
      </c>
      <c r="C86" s="15">
        <v>1</v>
      </c>
      <c r="D86" s="10" t="s">
        <v>145</v>
      </c>
      <c r="E86" s="10" t="s">
        <v>464</v>
      </c>
      <c r="F86" s="10">
        <v>1</v>
      </c>
      <c r="G86" s="15" t="s">
        <v>121</v>
      </c>
      <c r="H86" s="15" t="s">
        <v>121</v>
      </c>
      <c r="I86" s="15">
        <v>0</v>
      </c>
      <c r="J86" s="10" t="s">
        <v>24</v>
      </c>
      <c r="K86" s="14" t="s">
        <v>380</v>
      </c>
      <c r="L86" s="15">
        <v>0</v>
      </c>
      <c r="M86" s="15" t="s">
        <v>16</v>
      </c>
      <c r="N86" s="58" t="s">
        <v>562</v>
      </c>
      <c r="O86" s="15">
        <v>0</v>
      </c>
      <c r="P86" s="9">
        <v>25</v>
      </c>
      <c r="Q86" s="1">
        <v>1.5</v>
      </c>
      <c r="R86" s="10">
        <v>77</v>
      </c>
      <c r="S86" s="15" t="s">
        <v>161</v>
      </c>
    </row>
    <row r="87" spans="1:19" s="98" customFormat="1">
      <c r="A87" s="10" t="s">
        <v>119</v>
      </c>
      <c r="B87" s="15" t="s">
        <v>369</v>
      </c>
      <c r="C87" s="15">
        <v>1</v>
      </c>
      <c r="D87" s="10" t="s">
        <v>145</v>
      </c>
      <c r="E87" s="10" t="s">
        <v>464</v>
      </c>
      <c r="F87" s="10">
        <v>1</v>
      </c>
      <c r="G87" s="15" t="s">
        <v>59</v>
      </c>
      <c r="H87" s="14" t="s">
        <v>390</v>
      </c>
      <c r="I87" s="15">
        <v>1.3</v>
      </c>
      <c r="J87" s="10" t="s">
        <v>162</v>
      </c>
      <c r="K87" s="15" t="s">
        <v>384</v>
      </c>
      <c r="L87" s="15">
        <v>2</v>
      </c>
      <c r="M87" s="15" t="s">
        <v>163</v>
      </c>
      <c r="N87" s="15" t="s">
        <v>435</v>
      </c>
      <c r="O87" s="15">
        <v>0.5</v>
      </c>
      <c r="P87" s="9">
        <v>60</v>
      </c>
      <c r="Q87" s="1">
        <v>0.25</v>
      </c>
      <c r="R87" s="10">
        <v>99</v>
      </c>
      <c r="S87" s="15" t="s">
        <v>164</v>
      </c>
    </row>
    <row r="88" spans="1:19" s="98" customFormat="1">
      <c r="A88" s="63" t="s">
        <v>165</v>
      </c>
      <c r="B88" s="62" t="s">
        <v>370</v>
      </c>
      <c r="C88" s="62">
        <v>1</v>
      </c>
      <c r="D88" s="63" t="s">
        <v>166</v>
      </c>
      <c r="E88" s="63" t="s">
        <v>467</v>
      </c>
      <c r="F88" s="63">
        <v>1.2</v>
      </c>
      <c r="G88" s="62" t="s">
        <v>102</v>
      </c>
      <c r="H88" s="62" t="s">
        <v>399</v>
      </c>
      <c r="I88" s="62">
        <v>1.1000000000000001</v>
      </c>
      <c r="J88" s="64" t="s">
        <v>196</v>
      </c>
      <c r="K88" s="65" t="s">
        <v>381</v>
      </c>
      <c r="L88" s="62">
        <v>3</v>
      </c>
      <c r="M88" s="62" t="s">
        <v>16</v>
      </c>
      <c r="N88" s="65" t="s">
        <v>562</v>
      </c>
      <c r="O88" s="62">
        <v>0</v>
      </c>
      <c r="P88" s="66">
        <v>25</v>
      </c>
      <c r="Q88" s="67">
        <v>12</v>
      </c>
      <c r="R88" s="63">
        <v>49</v>
      </c>
      <c r="S88" s="62" t="s">
        <v>167</v>
      </c>
    </row>
    <row r="89" spans="1:19" s="98" customFormat="1">
      <c r="A89" s="63" t="s">
        <v>165</v>
      </c>
      <c r="B89" s="62" t="s">
        <v>370</v>
      </c>
      <c r="C89" s="62">
        <v>1</v>
      </c>
      <c r="D89" s="63" t="s">
        <v>166</v>
      </c>
      <c r="E89" s="63" t="s">
        <v>467</v>
      </c>
      <c r="F89" s="63">
        <v>1</v>
      </c>
      <c r="G89" s="62" t="s">
        <v>59</v>
      </c>
      <c r="H89" s="65" t="s">
        <v>390</v>
      </c>
      <c r="I89" s="62">
        <v>1</v>
      </c>
      <c r="J89" s="63" t="s">
        <v>121</v>
      </c>
      <c r="K89" s="62" t="s">
        <v>121</v>
      </c>
      <c r="L89" s="62">
        <v>0</v>
      </c>
      <c r="M89" s="62" t="s">
        <v>168</v>
      </c>
      <c r="N89" s="62" t="s">
        <v>573</v>
      </c>
      <c r="O89" s="62">
        <v>0</v>
      </c>
      <c r="P89" s="66">
        <v>40</v>
      </c>
      <c r="Q89" s="67">
        <v>2</v>
      </c>
      <c r="R89" s="63">
        <v>88</v>
      </c>
      <c r="S89" s="62" t="s">
        <v>169</v>
      </c>
    </row>
    <row r="90" spans="1:19" s="98" customFormat="1">
      <c r="A90" s="10" t="s">
        <v>170</v>
      </c>
      <c r="B90" s="15" t="s">
        <v>371</v>
      </c>
      <c r="C90" s="15">
        <v>1.1000000000000001</v>
      </c>
      <c r="D90" s="10" t="s">
        <v>171</v>
      </c>
      <c r="E90" s="10" t="s">
        <v>465</v>
      </c>
      <c r="F90" s="10">
        <v>1</v>
      </c>
      <c r="G90" s="15" t="s">
        <v>59</v>
      </c>
      <c r="H90" s="14" t="s">
        <v>390</v>
      </c>
      <c r="I90" s="15">
        <v>1.2</v>
      </c>
      <c r="J90" s="10" t="s">
        <v>149</v>
      </c>
      <c r="K90" s="15" t="s">
        <v>387</v>
      </c>
      <c r="L90" s="15">
        <v>1.1000000000000001</v>
      </c>
      <c r="M90" s="15" t="s">
        <v>16</v>
      </c>
      <c r="N90" s="58" t="s">
        <v>562</v>
      </c>
      <c r="O90" s="15">
        <v>2.2000000000000002</v>
      </c>
      <c r="P90" s="9">
        <v>25</v>
      </c>
      <c r="Q90" s="1">
        <v>12</v>
      </c>
      <c r="R90" s="10">
        <v>90</v>
      </c>
      <c r="S90" s="15" t="s">
        <v>172</v>
      </c>
    </row>
    <row r="91" spans="1:19" s="98" customFormat="1">
      <c r="A91" s="63" t="s">
        <v>170</v>
      </c>
      <c r="B91" s="15" t="s">
        <v>371</v>
      </c>
      <c r="C91" s="62">
        <v>1.2</v>
      </c>
      <c r="D91" s="61" t="s">
        <v>566</v>
      </c>
      <c r="E91" s="63" t="s">
        <v>567</v>
      </c>
      <c r="F91" s="63">
        <v>1</v>
      </c>
      <c r="G91" s="62" t="s">
        <v>15</v>
      </c>
      <c r="H91" s="62" t="s">
        <v>392</v>
      </c>
      <c r="I91" s="62">
        <v>1.5</v>
      </c>
      <c r="J91" s="64" t="s">
        <v>568</v>
      </c>
      <c r="K91" s="65" t="s">
        <v>569</v>
      </c>
      <c r="L91" s="62">
        <v>2</v>
      </c>
      <c r="M91" s="62" t="s">
        <v>16</v>
      </c>
      <c r="N91" s="65" t="s">
        <v>562</v>
      </c>
      <c r="O91" s="62">
        <v>0</v>
      </c>
      <c r="P91" s="66">
        <v>80</v>
      </c>
      <c r="Q91" s="67">
        <v>6</v>
      </c>
      <c r="R91" s="63">
        <v>59</v>
      </c>
      <c r="S91" s="62" t="s">
        <v>173</v>
      </c>
    </row>
    <row r="92" spans="1:19" s="98" customFormat="1">
      <c r="A92" s="63" t="s">
        <v>375</v>
      </c>
      <c r="B92" s="62" t="s">
        <v>376</v>
      </c>
      <c r="C92" s="62">
        <v>1</v>
      </c>
      <c r="D92" s="63" t="s">
        <v>171</v>
      </c>
      <c r="E92" s="63" t="s">
        <v>466</v>
      </c>
      <c r="F92" s="63">
        <v>1</v>
      </c>
      <c r="G92" s="62" t="s">
        <v>121</v>
      </c>
      <c r="H92" s="62" t="s">
        <v>121</v>
      </c>
      <c r="I92" s="62">
        <v>0</v>
      </c>
      <c r="J92" s="63" t="s">
        <v>121</v>
      </c>
      <c r="K92" s="62" t="s">
        <v>121</v>
      </c>
      <c r="L92" s="62">
        <v>0</v>
      </c>
      <c r="M92" s="62" t="s">
        <v>174</v>
      </c>
      <c r="N92" s="62" t="s">
        <v>435</v>
      </c>
      <c r="O92" s="62">
        <v>0</v>
      </c>
      <c r="P92" s="66">
        <v>25</v>
      </c>
      <c r="Q92" s="67">
        <v>0.25</v>
      </c>
      <c r="R92" s="63">
        <v>85</v>
      </c>
      <c r="S92" s="62" t="s">
        <v>175</v>
      </c>
    </row>
    <row r="93" spans="1:19" s="98" customFormat="1">
      <c r="A93" s="26" t="s">
        <v>375</v>
      </c>
      <c r="B93" s="15" t="s">
        <v>376</v>
      </c>
      <c r="C93" s="15">
        <v>1</v>
      </c>
      <c r="D93" s="10" t="s">
        <v>171</v>
      </c>
      <c r="E93" s="10" t="s">
        <v>466</v>
      </c>
      <c r="F93" s="10">
        <v>1.1000000000000001</v>
      </c>
      <c r="G93" s="15" t="s">
        <v>59</v>
      </c>
      <c r="H93" s="14" t="s">
        <v>390</v>
      </c>
      <c r="I93" s="15">
        <v>1.5</v>
      </c>
      <c r="J93" s="10" t="s">
        <v>121</v>
      </c>
      <c r="K93" s="15" t="s">
        <v>121</v>
      </c>
      <c r="L93" s="15">
        <v>0</v>
      </c>
      <c r="M93" s="15" t="s">
        <v>16</v>
      </c>
      <c r="N93" s="58" t="s">
        <v>562</v>
      </c>
      <c r="O93" s="15">
        <v>2.5000000000000001E-2</v>
      </c>
      <c r="P93" s="9">
        <v>25</v>
      </c>
      <c r="Q93" s="1">
        <v>24</v>
      </c>
      <c r="R93" s="10">
        <v>86</v>
      </c>
      <c r="S93" s="15" t="s">
        <v>176</v>
      </c>
    </row>
    <row r="94" spans="1:19" s="98" customFormat="1">
      <c r="A94" s="63" t="s">
        <v>177</v>
      </c>
      <c r="B94" s="62" t="s">
        <v>377</v>
      </c>
      <c r="C94" s="62">
        <v>1</v>
      </c>
      <c r="D94" s="63" t="s">
        <v>178</v>
      </c>
      <c r="E94" s="63" t="s">
        <v>468</v>
      </c>
      <c r="F94" s="63">
        <v>1</v>
      </c>
      <c r="G94" s="62" t="s">
        <v>59</v>
      </c>
      <c r="H94" s="65" t="s">
        <v>390</v>
      </c>
      <c r="I94" s="62">
        <v>1.1000000000000001</v>
      </c>
      <c r="J94" s="63" t="s">
        <v>121</v>
      </c>
      <c r="K94" s="62" t="s">
        <v>121</v>
      </c>
      <c r="L94" s="62">
        <v>0</v>
      </c>
      <c r="M94" s="62" t="s">
        <v>16</v>
      </c>
      <c r="N94" s="65" t="s">
        <v>562</v>
      </c>
      <c r="O94" s="62">
        <v>0</v>
      </c>
      <c r="P94" s="66">
        <v>25</v>
      </c>
      <c r="Q94" s="67">
        <v>2</v>
      </c>
      <c r="R94" s="63">
        <v>80</v>
      </c>
      <c r="S94" s="62" t="s">
        <v>179</v>
      </c>
    </row>
    <row r="95" spans="1:19" s="98" customFormat="1">
      <c r="A95" s="10" t="s">
        <v>180</v>
      </c>
      <c r="B95" s="15" t="s">
        <v>378</v>
      </c>
      <c r="C95" s="15">
        <v>1</v>
      </c>
      <c r="D95" s="10" t="s">
        <v>171</v>
      </c>
      <c r="E95" s="10" t="s">
        <v>466</v>
      </c>
      <c r="F95" s="10">
        <v>1.5</v>
      </c>
      <c r="G95" s="17" t="s">
        <v>59</v>
      </c>
      <c r="H95" s="14" t="s">
        <v>390</v>
      </c>
      <c r="I95" s="15">
        <v>1.5</v>
      </c>
      <c r="J95" s="26" t="s">
        <v>21</v>
      </c>
      <c r="K95" s="14" t="s">
        <v>380</v>
      </c>
      <c r="L95" s="15">
        <v>3</v>
      </c>
      <c r="M95" s="17" t="s">
        <v>91</v>
      </c>
      <c r="N95" s="58" t="s">
        <v>562</v>
      </c>
      <c r="O95" s="15">
        <v>0</v>
      </c>
      <c r="P95" s="9">
        <v>25</v>
      </c>
      <c r="Q95" s="1">
        <v>16</v>
      </c>
      <c r="R95" s="10">
        <v>55</v>
      </c>
      <c r="S95" s="15" t="s">
        <v>181</v>
      </c>
    </row>
    <row r="96" spans="1:19" s="97" customFormat="1">
      <c r="A96" s="10" t="s">
        <v>119</v>
      </c>
      <c r="B96" s="15" t="s">
        <v>369</v>
      </c>
      <c r="C96" s="15">
        <v>1.1000000000000001</v>
      </c>
      <c r="D96" s="10" t="s">
        <v>182</v>
      </c>
      <c r="E96" s="10" t="s">
        <v>469</v>
      </c>
      <c r="F96" s="10">
        <v>1</v>
      </c>
      <c r="G96" s="15" t="s">
        <v>183</v>
      </c>
      <c r="H96" s="15" t="s">
        <v>413</v>
      </c>
      <c r="I96" s="15">
        <v>0.1</v>
      </c>
      <c r="J96" s="10" t="s">
        <v>121</v>
      </c>
      <c r="K96" s="15" t="s">
        <v>121</v>
      </c>
      <c r="L96" s="15">
        <v>0</v>
      </c>
      <c r="M96" s="15" t="s">
        <v>153</v>
      </c>
      <c r="N96" s="15" t="s">
        <v>430</v>
      </c>
      <c r="O96" s="15">
        <v>0</v>
      </c>
      <c r="P96" s="9">
        <v>100</v>
      </c>
      <c r="Q96" s="1">
        <v>6</v>
      </c>
      <c r="R96" s="10">
        <v>98</v>
      </c>
      <c r="S96" s="15" t="s">
        <v>184</v>
      </c>
    </row>
    <row r="97" spans="1:19" s="97" customFormat="1">
      <c r="A97" s="10" t="s">
        <v>119</v>
      </c>
      <c r="B97" s="15" t="s">
        <v>369</v>
      </c>
      <c r="C97" s="15">
        <v>1</v>
      </c>
      <c r="D97" s="10" t="s">
        <v>171</v>
      </c>
      <c r="E97" s="10" t="s">
        <v>466</v>
      </c>
      <c r="F97" s="10">
        <v>1</v>
      </c>
      <c r="G97" s="15" t="s">
        <v>185</v>
      </c>
      <c r="H97" s="15" t="s">
        <v>414</v>
      </c>
      <c r="I97" s="15">
        <v>0.01</v>
      </c>
      <c r="J97" s="10" t="s">
        <v>121</v>
      </c>
      <c r="K97" s="15" t="s">
        <v>121</v>
      </c>
      <c r="L97" s="15">
        <v>0</v>
      </c>
      <c r="M97" s="15" t="s">
        <v>186</v>
      </c>
      <c r="N97" s="15" t="s">
        <v>428</v>
      </c>
      <c r="O97" s="15">
        <v>0</v>
      </c>
      <c r="P97" s="9">
        <v>100</v>
      </c>
      <c r="Q97" s="1">
        <v>14</v>
      </c>
      <c r="R97" s="10">
        <v>76</v>
      </c>
      <c r="S97" s="15" t="s">
        <v>184</v>
      </c>
    </row>
    <row r="98" spans="1:19" s="97" customFormat="1">
      <c r="A98" s="10" t="s">
        <v>119</v>
      </c>
      <c r="B98" s="15" t="s">
        <v>369</v>
      </c>
      <c r="C98" s="15">
        <v>1</v>
      </c>
      <c r="D98" s="10" t="s">
        <v>187</v>
      </c>
      <c r="E98" s="1" t="s">
        <v>470</v>
      </c>
      <c r="F98" s="10">
        <v>1</v>
      </c>
      <c r="G98" s="15" t="s">
        <v>281</v>
      </c>
      <c r="H98" s="34" t="s">
        <v>395</v>
      </c>
      <c r="I98" s="15">
        <v>1</v>
      </c>
      <c r="J98" s="26" t="s">
        <v>21</v>
      </c>
      <c r="K98" s="14" t="s">
        <v>380</v>
      </c>
      <c r="L98" s="15">
        <v>2</v>
      </c>
      <c r="M98" s="15" t="s">
        <v>433</v>
      </c>
      <c r="N98" s="15" t="s">
        <v>436</v>
      </c>
      <c r="O98" s="15">
        <v>0</v>
      </c>
      <c r="P98" s="9">
        <v>25</v>
      </c>
      <c r="Q98" s="1">
        <v>24</v>
      </c>
      <c r="R98" s="10">
        <v>100</v>
      </c>
      <c r="S98" s="15" t="s">
        <v>188</v>
      </c>
    </row>
    <row r="99" spans="1:19" s="97" customFormat="1">
      <c r="A99" s="10" t="s">
        <v>180</v>
      </c>
      <c r="B99" s="15" t="s">
        <v>378</v>
      </c>
      <c r="C99" s="15">
        <v>1</v>
      </c>
      <c r="D99" s="10" t="s">
        <v>171</v>
      </c>
      <c r="E99" s="10" t="s">
        <v>466</v>
      </c>
      <c r="F99" s="10">
        <v>1</v>
      </c>
      <c r="G99" s="15" t="s">
        <v>121</v>
      </c>
      <c r="H99" s="15" t="s">
        <v>121</v>
      </c>
      <c r="I99" s="15">
        <v>0</v>
      </c>
      <c r="J99" s="26" t="s">
        <v>21</v>
      </c>
      <c r="K99" s="14" t="s">
        <v>380</v>
      </c>
      <c r="L99" s="15">
        <v>2</v>
      </c>
      <c r="M99" s="17" t="s">
        <v>91</v>
      </c>
      <c r="N99" s="58" t="s">
        <v>562</v>
      </c>
      <c r="O99" s="15">
        <v>0</v>
      </c>
      <c r="P99" s="9">
        <v>25</v>
      </c>
      <c r="Q99" s="1">
        <v>16</v>
      </c>
      <c r="R99" s="10">
        <v>54</v>
      </c>
      <c r="S99" s="15" t="s">
        <v>189</v>
      </c>
    </row>
    <row r="100" spans="1:19" s="97" customFormat="1">
      <c r="A100" s="10" t="s">
        <v>190</v>
      </c>
      <c r="B100" s="15" t="s">
        <v>441</v>
      </c>
      <c r="C100" s="15">
        <v>1</v>
      </c>
      <c r="D100" s="10" t="s">
        <v>171</v>
      </c>
      <c r="E100" s="10" t="s">
        <v>466</v>
      </c>
      <c r="F100" s="10">
        <v>1</v>
      </c>
      <c r="G100" s="17" t="s">
        <v>281</v>
      </c>
      <c r="H100" s="34" t="s">
        <v>395</v>
      </c>
      <c r="I100" s="15">
        <v>1</v>
      </c>
      <c r="J100" s="26" t="s">
        <v>21</v>
      </c>
      <c r="K100" s="14" t="s">
        <v>380</v>
      </c>
      <c r="L100" s="15">
        <v>2</v>
      </c>
      <c r="M100" s="17" t="s">
        <v>91</v>
      </c>
      <c r="N100" s="58" t="s">
        <v>562</v>
      </c>
      <c r="O100" s="15">
        <v>0</v>
      </c>
      <c r="P100" s="9">
        <v>25</v>
      </c>
      <c r="Q100" s="1">
        <v>16</v>
      </c>
      <c r="R100" s="10">
        <v>57</v>
      </c>
      <c r="S100" s="15" t="s">
        <v>191</v>
      </c>
    </row>
    <row r="101" spans="1:19" s="97" customFormat="1">
      <c r="A101" s="10" t="s">
        <v>192</v>
      </c>
      <c r="B101" s="15" t="s">
        <v>442</v>
      </c>
      <c r="C101" s="15">
        <v>1</v>
      </c>
      <c r="D101" s="10" t="s">
        <v>171</v>
      </c>
      <c r="E101" s="10" t="s">
        <v>466</v>
      </c>
      <c r="F101" s="10">
        <v>1</v>
      </c>
      <c r="G101" s="17" t="s">
        <v>30</v>
      </c>
      <c r="H101" s="14" t="s">
        <v>391</v>
      </c>
      <c r="I101" s="15">
        <v>1.5</v>
      </c>
      <c r="J101" s="26" t="s">
        <v>21</v>
      </c>
      <c r="K101" s="14" t="s">
        <v>380</v>
      </c>
      <c r="L101" s="15">
        <v>1.5</v>
      </c>
      <c r="M101" s="17" t="s">
        <v>91</v>
      </c>
      <c r="N101" s="58" t="s">
        <v>562</v>
      </c>
      <c r="O101" s="15">
        <v>0</v>
      </c>
      <c r="P101" s="9">
        <v>25</v>
      </c>
      <c r="Q101" s="1">
        <v>16</v>
      </c>
      <c r="R101" s="10">
        <v>69</v>
      </c>
      <c r="S101" s="15" t="s">
        <v>193</v>
      </c>
    </row>
    <row r="102" spans="1:19" s="97" customFormat="1">
      <c r="A102" s="10" t="s">
        <v>194</v>
      </c>
      <c r="B102" s="15" t="s">
        <v>443</v>
      </c>
      <c r="C102" s="15">
        <v>1</v>
      </c>
      <c r="D102" s="10" t="s">
        <v>195</v>
      </c>
      <c r="E102" s="10" t="s">
        <v>471</v>
      </c>
      <c r="F102" s="10">
        <v>1</v>
      </c>
      <c r="G102" s="17" t="s">
        <v>30</v>
      </c>
      <c r="H102" s="14" t="s">
        <v>391</v>
      </c>
      <c r="I102" s="15">
        <v>2</v>
      </c>
      <c r="J102" s="44" t="s">
        <v>196</v>
      </c>
      <c r="K102" s="14" t="s">
        <v>381</v>
      </c>
      <c r="L102" s="15">
        <v>2</v>
      </c>
      <c r="M102" s="17" t="s">
        <v>48</v>
      </c>
      <c r="N102" s="15" t="s">
        <v>425</v>
      </c>
      <c r="O102" s="15">
        <v>0</v>
      </c>
      <c r="P102" s="9">
        <v>25</v>
      </c>
      <c r="Q102" s="1">
        <v>12</v>
      </c>
      <c r="R102" s="10">
        <v>51</v>
      </c>
      <c r="S102" s="15" t="s">
        <v>197</v>
      </c>
    </row>
    <row r="103" spans="1:19" s="97" customFormat="1">
      <c r="A103" s="10" t="s">
        <v>198</v>
      </c>
      <c r="B103" s="15" t="s">
        <v>444</v>
      </c>
      <c r="C103" s="15">
        <v>1</v>
      </c>
      <c r="D103" s="10" t="s">
        <v>171</v>
      </c>
      <c r="E103" s="10" t="s">
        <v>466</v>
      </c>
      <c r="F103" s="10">
        <v>1</v>
      </c>
      <c r="G103" s="15" t="s">
        <v>131</v>
      </c>
      <c r="H103" s="15" t="s">
        <v>405</v>
      </c>
      <c r="I103" s="15">
        <v>1</v>
      </c>
      <c r="J103" s="44" t="s">
        <v>196</v>
      </c>
      <c r="K103" s="14" t="s">
        <v>381</v>
      </c>
      <c r="L103" s="15">
        <v>1</v>
      </c>
      <c r="M103" s="17" t="s">
        <v>91</v>
      </c>
      <c r="N103" s="58" t="s">
        <v>562</v>
      </c>
      <c r="O103" s="15">
        <v>0</v>
      </c>
      <c r="P103" s="9">
        <v>25</v>
      </c>
      <c r="Q103" s="1">
        <v>0.5</v>
      </c>
      <c r="R103" s="10">
        <v>73</v>
      </c>
      <c r="S103" s="15" t="s">
        <v>199</v>
      </c>
    </row>
    <row r="104" spans="1:19" s="97" customFormat="1">
      <c r="A104" s="10" t="s">
        <v>190</v>
      </c>
      <c r="B104" s="15" t="s">
        <v>441</v>
      </c>
      <c r="C104" s="15">
        <v>1</v>
      </c>
      <c r="D104" s="10" t="s">
        <v>171</v>
      </c>
      <c r="E104" s="10" t="s">
        <v>466</v>
      </c>
      <c r="F104" s="10">
        <v>1</v>
      </c>
      <c r="G104" s="15" t="s">
        <v>59</v>
      </c>
      <c r="H104" s="14" t="s">
        <v>390</v>
      </c>
      <c r="I104" s="15">
        <v>1.5</v>
      </c>
      <c r="J104" s="26" t="s">
        <v>21</v>
      </c>
      <c r="K104" s="14" t="s">
        <v>380</v>
      </c>
      <c r="L104" s="15">
        <v>2</v>
      </c>
      <c r="M104" s="17" t="s">
        <v>91</v>
      </c>
      <c r="N104" s="58" t="s">
        <v>562</v>
      </c>
      <c r="O104" s="15">
        <v>0</v>
      </c>
      <c r="P104" s="9">
        <v>25</v>
      </c>
      <c r="Q104" s="1">
        <v>16</v>
      </c>
      <c r="R104" s="10">
        <v>57</v>
      </c>
      <c r="S104" s="15" t="s">
        <v>200</v>
      </c>
    </row>
    <row r="105" spans="1:19" s="97" customFormat="1">
      <c r="A105" s="10" t="s">
        <v>180</v>
      </c>
      <c r="B105" s="15" t="s">
        <v>378</v>
      </c>
      <c r="C105" s="15">
        <v>1</v>
      </c>
      <c r="D105" s="10" t="s">
        <v>171</v>
      </c>
      <c r="E105" s="10" t="s">
        <v>466</v>
      </c>
      <c r="F105" s="10">
        <v>1.5</v>
      </c>
      <c r="G105" s="15" t="s">
        <v>59</v>
      </c>
      <c r="H105" s="14" t="s">
        <v>390</v>
      </c>
      <c r="I105" s="15">
        <v>1.5</v>
      </c>
      <c r="J105" s="26" t="s">
        <v>21</v>
      </c>
      <c r="K105" s="14" t="s">
        <v>380</v>
      </c>
      <c r="L105" s="15">
        <v>3</v>
      </c>
      <c r="M105" s="17" t="s">
        <v>91</v>
      </c>
      <c r="N105" s="14" t="s">
        <v>562</v>
      </c>
      <c r="O105" s="15">
        <v>0</v>
      </c>
      <c r="P105" s="9">
        <v>25</v>
      </c>
      <c r="Q105" s="1">
        <v>16</v>
      </c>
      <c r="R105" s="10">
        <v>54</v>
      </c>
      <c r="S105" s="15" t="s">
        <v>191</v>
      </c>
    </row>
    <row r="106" spans="1:19" s="97" customFormat="1" ht="15" customHeight="1">
      <c r="A106" s="10" t="s">
        <v>201</v>
      </c>
      <c r="B106" s="15" t="s">
        <v>369</v>
      </c>
      <c r="C106" s="15">
        <v>1.1000000000000001</v>
      </c>
      <c r="D106" s="10" t="s">
        <v>202</v>
      </c>
      <c r="E106" s="10" t="s">
        <v>472</v>
      </c>
      <c r="F106" s="10">
        <v>1</v>
      </c>
      <c r="G106" s="15" t="s">
        <v>28</v>
      </c>
      <c r="H106" s="14" t="s">
        <v>394</v>
      </c>
      <c r="I106" s="15">
        <v>1.1000000000000001</v>
      </c>
      <c r="J106" s="10" t="s">
        <v>121</v>
      </c>
      <c r="K106" s="15" t="s">
        <v>121</v>
      </c>
      <c r="L106" s="15">
        <v>0</v>
      </c>
      <c r="M106" s="15" t="s">
        <v>121</v>
      </c>
      <c r="N106" s="15" t="s">
        <v>121</v>
      </c>
      <c r="O106" s="15">
        <v>0</v>
      </c>
      <c r="P106" s="9">
        <v>25</v>
      </c>
      <c r="Q106" s="1">
        <v>1.5</v>
      </c>
      <c r="R106" s="10">
        <v>77</v>
      </c>
      <c r="S106" s="15"/>
    </row>
    <row r="107" spans="1:19" s="97" customFormat="1" ht="15" customHeight="1">
      <c r="A107" s="10" t="s">
        <v>203</v>
      </c>
      <c r="B107" s="15" t="s">
        <v>445</v>
      </c>
      <c r="C107" s="15">
        <v>1.5</v>
      </c>
      <c r="D107" s="10" t="s">
        <v>204</v>
      </c>
      <c r="E107" s="10" t="s">
        <v>473</v>
      </c>
      <c r="F107" s="10">
        <v>1</v>
      </c>
      <c r="G107" s="15" t="s">
        <v>28</v>
      </c>
      <c r="H107" s="14" t="s">
        <v>394</v>
      </c>
      <c r="I107" s="15">
        <v>1.5</v>
      </c>
      <c r="J107" s="10" t="s">
        <v>121</v>
      </c>
      <c r="K107" s="15" t="s">
        <v>121</v>
      </c>
      <c r="L107" s="15">
        <v>0</v>
      </c>
      <c r="M107" s="15" t="s">
        <v>205</v>
      </c>
      <c r="N107" s="14" t="s">
        <v>423</v>
      </c>
      <c r="O107" s="15">
        <v>0</v>
      </c>
      <c r="P107" s="9">
        <v>60</v>
      </c>
      <c r="Q107" s="1">
        <v>16</v>
      </c>
      <c r="R107" s="10">
        <v>18</v>
      </c>
      <c r="S107" s="15" t="s">
        <v>206</v>
      </c>
    </row>
    <row r="108" spans="1:19" s="97" customFormat="1" ht="15" customHeight="1">
      <c r="A108" s="10" t="s">
        <v>207</v>
      </c>
      <c r="B108" s="15" t="s">
        <v>446</v>
      </c>
      <c r="C108" s="15">
        <v>1</v>
      </c>
      <c r="D108" s="10" t="s">
        <v>208</v>
      </c>
      <c r="E108" s="10" t="s">
        <v>474</v>
      </c>
      <c r="F108" s="10">
        <v>1</v>
      </c>
      <c r="G108" s="15" t="s">
        <v>59</v>
      </c>
      <c r="H108" s="14" t="s">
        <v>390</v>
      </c>
      <c r="I108" s="15">
        <v>1</v>
      </c>
      <c r="J108" s="10" t="s">
        <v>121</v>
      </c>
      <c r="K108" s="15" t="s">
        <v>121</v>
      </c>
      <c r="L108" s="15">
        <v>0</v>
      </c>
      <c r="M108" s="15" t="s">
        <v>427</v>
      </c>
      <c r="N108" s="15" t="s">
        <v>425</v>
      </c>
      <c r="O108" s="15">
        <v>0</v>
      </c>
      <c r="P108" s="9">
        <v>25</v>
      </c>
      <c r="Q108" s="1">
        <v>0.5</v>
      </c>
      <c r="R108" s="10">
        <v>54</v>
      </c>
      <c r="S108" s="15" t="s">
        <v>209</v>
      </c>
    </row>
    <row r="109" spans="1:19" s="97" customFormat="1" ht="15" customHeight="1">
      <c r="A109" s="10" t="s">
        <v>119</v>
      </c>
      <c r="B109" s="15" t="s">
        <v>369</v>
      </c>
      <c r="C109" s="15">
        <v>1.5</v>
      </c>
      <c r="D109" s="10" t="s">
        <v>210</v>
      </c>
      <c r="E109" s="10" t="s">
        <v>475</v>
      </c>
      <c r="F109" s="10">
        <v>1</v>
      </c>
      <c r="G109" s="15" t="s">
        <v>28</v>
      </c>
      <c r="H109" s="14" t="s">
        <v>394</v>
      </c>
      <c r="I109" s="15">
        <v>1.5</v>
      </c>
      <c r="J109" s="10" t="s">
        <v>121</v>
      </c>
      <c r="K109" s="15" t="s">
        <v>121</v>
      </c>
      <c r="L109" s="15">
        <v>0</v>
      </c>
      <c r="M109" s="15" t="s">
        <v>121</v>
      </c>
      <c r="N109" s="15" t="s">
        <v>121</v>
      </c>
      <c r="O109" s="15">
        <v>0</v>
      </c>
      <c r="P109" s="9">
        <v>25</v>
      </c>
      <c r="Q109" s="1">
        <v>8.3000000000000004E-2</v>
      </c>
      <c r="R109" s="10">
        <v>96</v>
      </c>
      <c r="S109" s="15" t="s">
        <v>211</v>
      </c>
    </row>
    <row r="110" spans="1:19" s="97" customFormat="1" ht="15" customHeight="1">
      <c r="A110" s="10" t="s">
        <v>373</v>
      </c>
      <c r="B110" s="15" t="s">
        <v>447</v>
      </c>
      <c r="C110" s="15">
        <v>1.4</v>
      </c>
      <c r="D110" s="10" t="s">
        <v>120</v>
      </c>
      <c r="E110" s="10" t="s">
        <v>457</v>
      </c>
      <c r="F110" s="10">
        <v>1</v>
      </c>
      <c r="G110" s="15" t="s">
        <v>59</v>
      </c>
      <c r="H110" s="14" t="s">
        <v>390</v>
      </c>
      <c r="I110" s="15">
        <v>1.4</v>
      </c>
      <c r="J110" s="10" t="s">
        <v>121</v>
      </c>
      <c r="K110" s="15" t="s">
        <v>121</v>
      </c>
      <c r="L110" s="15">
        <v>0</v>
      </c>
      <c r="M110" s="15" t="s">
        <v>121</v>
      </c>
      <c r="N110" s="15" t="s">
        <v>121</v>
      </c>
      <c r="O110" s="15">
        <v>0</v>
      </c>
      <c r="P110" s="9">
        <v>50</v>
      </c>
      <c r="Q110" s="1">
        <v>0.5</v>
      </c>
      <c r="R110" s="10">
        <v>81</v>
      </c>
      <c r="S110" s="15"/>
    </row>
    <row r="111" spans="1:19" s="97" customFormat="1" ht="15" customHeight="1">
      <c r="A111" s="10" t="s">
        <v>119</v>
      </c>
      <c r="B111" s="15" t="s">
        <v>369</v>
      </c>
      <c r="C111" s="15">
        <v>1</v>
      </c>
      <c r="D111" s="10" t="s">
        <v>212</v>
      </c>
      <c r="E111" s="10" t="s">
        <v>476</v>
      </c>
      <c r="F111" s="10">
        <v>1</v>
      </c>
      <c r="G111" s="15" t="s">
        <v>59</v>
      </c>
      <c r="H111" s="14" t="s">
        <v>390</v>
      </c>
      <c r="I111" s="15">
        <v>1</v>
      </c>
      <c r="J111" s="10" t="s">
        <v>121</v>
      </c>
      <c r="K111" s="15" t="s">
        <v>121</v>
      </c>
      <c r="L111" s="15">
        <v>0</v>
      </c>
      <c r="M111" s="15" t="s">
        <v>121</v>
      </c>
      <c r="N111" s="15" t="s">
        <v>121</v>
      </c>
      <c r="O111" s="15">
        <v>0</v>
      </c>
      <c r="P111" s="9">
        <v>25</v>
      </c>
      <c r="Q111" s="1">
        <v>0.16700000000000001</v>
      </c>
      <c r="R111" s="10">
        <v>97</v>
      </c>
      <c r="S111" s="15"/>
    </row>
    <row r="112" spans="1:19" s="97" customFormat="1" ht="15" customHeight="1">
      <c r="A112" s="10" t="s">
        <v>374</v>
      </c>
      <c r="B112" s="15" t="s">
        <v>448</v>
      </c>
      <c r="C112" s="15">
        <v>1.1000000000000001</v>
      </c>
      <c r="D112" s="10" t="s">
        <v>171</v>
      </c>
      <c r="E112" s="10" t="s">
        <v>466</v>
      </c>
      <c r="F112" s="10">
        <v>1</v>
      </c>
      <c r="G112" s="15" t="s">
        <v>59</v>
      </c>
      <c r="H112" s="14" t="s">
        <v>390</v>
      </c>
      <c r="I112" s="15">
        <v>1.1000000000000001</v>
      </c>
      <c r="J112" s="10" t="s">
        <v>121</v>
      </c>
      <c r="K112" s="15" t="s">
        <v>121</v>
      </c>
      <c r="L112" s="15">
        <v>0</v>
      </c>
      <c r="M112" s="15" t="s">
        <v>16</v>
      </c>
      <c r="N112" s="58" t="s">
        <v>562</v>
      </c>
      <c r="O112" s="15">
        <v>0</v>
      </c>
      <c r="P112" s="9">
        <v>25</v>
      </c>
      <c r="Q112" s="1">
        <v>12</v>
      </c>
      <c r="R112" s="10">
        <v>90</v>
      </c>
      <c r="S112" s="15" t="s">
        <v>213</v>
      </c>
    </row>
    <row r="113" spans="1:19" s="97" customFormat="1" ht="15" customHeight="1">
      <c r="A113" s="63" t="s">
        <v>214</v>
      </c>
      <c r="B113" s="62" t="s">
        <v>449</v>
      </c>
      <c r="C113" s="62">
        <v>1.5</v>
      </c>
      <c r="D113" s="63" t="s">
        <v>171</v>
      </c>
      <c r="E113" s="63" t="s">
        <v>466</v>
      </c>
      <c r="F113" s="63">
        <v>1</v>
      </c>
      <c r="G113" s="62" t="s">
        <v>121</v>
      </c>
      <c r="H113" s="62" t="s">
        <v>121</v>
      </c>
      <c r="I113" s="62">
        <v>0</v>
      </c>
      <c r="J113" s="63" t="s">
        <v>121</v>
      </c>
      <c r="K113" s="62" t="s">
        <v>121</v>
      </c>
      <c r="L113" s="62">
        <v>0</v>
      </c>
      <c r="M113" s="74" t="s">
        <v>215</v>
      </c>
      <c r="N113" s="62" t="s">
        <v>574</v>
      </c>
      <c r="O113" s="62">
        <v>0</v>
      </c>
      <c r="P113" s="66">
        <v>80</v>
      </c>
      <c r="Q113" s="67">
        <v>18</v>
      </c>
      <c r="R113" s="63">
        <v>91</v>
      </c>
      <c r="S113" s="62" t="s">
        <v>216</v>
      </c>
    </row>
    <row r="114" spans="1:19" s="97" customFormat="1">
      <c r="A114" s="10" t="s">
        <v>119</v>
      </c>
      <c r="B114" s="15" t="s">
        <v>369</v>
      </c>
      <c r="C114" s="15">
        <v>1</v>
      </c>
      <c r="D114" s="26" t="s">
        <v>307</v>
      </c>
      <c r="E114" s="10" t="s">
        <v>492</v>
      </c>
      <c r="F114" s="10">
        <v>1.5</v>
      </c>
      <c r="G114" s="15" t="s">
        <v>218</v>
      </c>
      <c r="H114" s="15" t="s">
        <v>415</v>
      </c>
      <c r="I114" s="15">
        <v>0.1</v>
      </c>
      <c r="J114" s="10" t="s">
        <v>121</v>
      </c>
      <c r="K114" s="15" t="s">
        <v>121</v>
      </c>
      <c r="L114" s="15">
        <v>0</v>
      </c>
      <c r="M114" s="17" t="s">
        <v>22</v>
      </c>
      <c r="N114" s="58" t="s">
        <v>563</v>
      </c>
      <c r="O114" s="15">
        <v>0.5</v>
      </c>
      <c r="P114" s="9">
        <v>110</v>
      </c>
      <c r="Q114" s="1">
        <v>24</v>
      </c>
      <c r="R114" s="10">
        <v>48</v>
      </c>
      <c r="S114" s="15" t="s">
        <v>219</v>
      </c>
    </row>
    <row r="115" spans="1:19" s="97" customFormat="1">
      <c r="A115" s="10" t="s">
        <v>220</v>
      </c>
      <c r="B115" s="15" t="s">
        <v>450</v>
      </c>
      <c r="C115" s="15">
        <v>1</v>
      </c>
      <c r="D115" s="10" t="s">
        <v>221</v>
      </c>
      <c r="E115" s="10" t="s">
        <v>382</v>
      </c>
      <c r="F115" s="10">
        <v>1.5</v>
      </c>
      <c r="G115" s="15" t="s">
        <v>218</v>
      </c>
      <c r="H115" s="15" t="s">
        <v>415</v>
      </c>
      <c r="I115" s="15">
        <v>0.1</v>
      </c>
      <c r="J115" s="10" t="s">
        <v>121</v>
      </c>
      <c r="K115" s="15" t="s">
        <v>121</v>
      </c>
      <c r="L115" s="15">
        <v>0</v>
      </c>
      <c r="M115" s="17" t="s">
        <v>22</v>
      </c>
      <c r="N115" s="58" t="s">
        <v>563</v>
      </c>
      <c r="O115" s="15">
        <v>0.5</v>
      </c>
      <c r="P115" s="9">
        <v>110</v>
      </c>
      <c r="Q115" s="1">
        <v>24</v>
      </c>
      <c r="R115" s="10">
        <v>72</v>
      </c>
      <c r="S115" s="15" t="s">
        <v>219</v>
      </c>
    </row>
    <row r="116" spans="1:19" s="97" customFormat="1">
      <c r="A116" s="10" t="s">
        <v>222</v>
      </c>
      <c r="B116" s="15" t="s">
        <v>451</v>
      </c>
      <c r="C116" s="15">
        <v>1</v>
      </c>
      <c r="D116" s="10" t="s">
        <v>120</v>
      </c>
      <c r="E116" s="10" t="s">
        <v>457</v>
      </c>
      <c r="F116" s="10">
        <v>1.5</v>
      </c>
      <c r="G116" s="15" t="s">
        <v>218</v>
      </c>
      <c r="H116" s="15" t="s">
        <v>415</v>
      </c>
      <c r="I116" s="15">
        <v>0.1</v>
      </c>
      <c r="J116" s="10" t="s">
        <v>121</v>
      </c>
      <c r="K116" s="15" t="s">
        <v>121</v>
      </c>
      <c r="L116" s="15">
        <v>0</v>
      </c>
      <c r="M116" s="17" t="s">
        <v>22</v>
      </c>
      <c r="N116" s="58" t="s">
        <v>563</v>
      </c>
      <c r="O116" s="15">
        <v>0.5</v>
      </c>
      <c r="P116" s="9">
        <v>110</v>
      </c>
      <c r="Q116" s="1">
        <v>24</v>
      </c>
      <c r="R116" s="10">
        <v>66</v>
      </c>
      <c r="S116" s="15" t="s">
        <v>219</v>
      </c>
    </row>
    <row r="117" spans="1:19" s="97" customFormat="1">
      <c r="A117" s="10" t="s">
        <v>223</v>
      </c>
      <c r="B117" s="15" t="s">
        <v>452</v>
      </c>
      <c r="C117" s="15">
        <v>1</v>
      </c>
      <c r="D117" s="10" t="s">
        <v>120</v>
      </c>
      <c r="E117" s="10" t="s">
        <v>457</v>
      </c>
      <c r="F117" s="10">
        <v>1.5</v>
      </c>
      <c r="G117" s="15" t="s">
        <v>218</v>
      </c>
      <c r="H117" s="15" t="s">
        <v>415</v>
      </c>
      <c r="I117" s="15">
        <v>0.1</v>
      </c>
      <c r="J117" s="10" t="s">
        <v>121</v>
      </c>
      <c r="K117" s="15" t="s">
        <v>121</v>
      </c>
      <c r="L117" s="15">
        <v>0</v>
      </c>
      <c r="M117" s="17" t="s">
        <v>22</v>
      </c>
      <c r="N117" s="58" t="s">
        <v>563</v>
      </c>
      <c r="O117" s="15">
        <v>0.5</v>
      </c>
      <c r="P117" s="9">
        <v>110</v>
      </c>
      <c r="Q117" s="1">
        <v>24</v>
      </c>
      <c r="R117" s="10">
        <v>88</v>
      </c>
      <c r="S117" s="15" t="s">
        <v>219</v>
      </c>
    </row>
    <row r="118" spans="1:19" s="97" customFormat="1" ht="15" customHeight="1">
      <c r="A118" s="10" t="s">
        <v>119</v>
      </c>
      <c r="B118" s="15" t="s">
        <v>369</v>
      </c>
      <c r="C118" s="15">
        <v>1</v>
      </c>
      <c r="D118" s="10" t="s">
        <v>224</v>
      </c>
      <c r="E118" s="10" t="s">
        <v>493</v>
      </c>
      <c r="F118" s="10">
        <v>1.5</v>
      </c>
      <c r="G118" s="15" t="s">
        <v>218</v>
      </c>
      <c r="H118" s="15" t="s">
        <v>415</v>
      </c>
      <c r="I118" s="15">
        <v>0.1</v>
      </c>
      <c r="J118" s="10" t="s">
        <v>121</v>
      </c>
      <c r="K118" s="15" t="s">
        <v>121</v>
      </c>
      <c r="L118" s="15">
        <v>0</v>
      </c>
      <c r="M118" s="17" t="s">
        <v>22</v>
      </c>
      <c r="N118" s="58" t="s">
        <v>563</v>
      </c>
      <c r="O118" s="15">
        <v>0.5</v>
      </c>
      <c r="P118" s="9">
        <v>110</v>
      </c>
      <c r="Q118" s="1">
        <v>24</v>
      </c>
      <c r="R118" s="10">
        <v>56</v>
      </c>
      <c r="S118" s="15" t="s">
        <v>219</v>
      </c>
    </row>
    <row r="119" spans="1:19" s="97" customFormat="1" ht="15" customHeight="1">
      <c r="A119" s="10" t="s">
        <v>119</v>
      </c>
      <c r="B119" s="15" t="s">
        <v>369</v>
      </c>
      <c r="C119" s="15">
        <v>1</v>
      </c>
      <c r="D119" s="10" t="s">
        <v>225</v>
      </c>
      <c r="E119" s="10" t="s">
        <v>477</v>
      </c>
      <c r="F119" s="10">
        <v>1</v>
      </c>
      <c r="G119" s="15" t="s">
        <v>121</v>
      </c>
      <c r="H119" s="15" t="s">
        <v>121</v>
      </c>
      <c r="I119" s="15">
        <v>0</v>
      </c>
      <c r="J119" s="10" t="s">
        <v>162</v>
      </c>
      <c r="K119" s="15" t="s">
        <v>384</v>
      </c>
      <c r="L119" s="15">
        <v>3</v>
      </c>
      <c r="M119" s="15" t="s">
        <v>153</v>
      </c>
      <c r="N119" s="15" t="s">
        <v>430</v>
      </c>
      <c r="O119" s="15">
        <v>0.25</v>
      </c>
      <c r="P119" s="9">
        <v>130</v>
      </c>
      <c r="Q119" s="1">
        <v>20</v>
      </c>
      <c r="R119" s="10">
        <v>85</v>
      </c>
      <c r="S119" s="15" t="s">
        <v>226</v>
      </c>
    </row>
    <row r="120" spans="1:19" s="97" customFormat="1">
      <c r="A120" s="10" t="s">
        <v>227</v>
      </c>
      <c r="B120" s="15" t="s">
        <v>453</v>
      </c>
      <c r="C120" s="15">
        <v>1</v>
      </c>
      <c r="D120" s="10" t="s">
        <v>225</v>
      </c>
      <c r="E120" s="10" t="s">
        <v>477</v>
      </c>
      <c r="F120" s="10">
        <v>1</v>
      </c>
      <c r="G120" s="15" t="s">
        <v>121</v>
      </c>
      <c r="H120" s="15" t="s">
        <v>121</v>
      </c>
      <c r="I120" s="15">
        <v>0</v>
      </c>
      <c r="J120" s="10" t="s">
        <v>162</v>
      </c>
      <c r="K120" s="15" t="s">
        <v>384</v>
      </c>
      <c r="L120" s="15">
        <v>3</v>
      </c>
      <c r="M120" s="15" t="s">
        <v>153</v>
      </c>
      <c r="N120" s="15" t="s">
        <v>430</v>
      </c>
      <c r="O120" s="15">
        <v>0.25</v>
      </c>
      <c r="P120" s="9">
        <v>130</v>
      </c>
      <c r="Q120" s="1">
        <v>20</v>
      </c>
      <c r="R120" s="10">
        <v>89</v>
      </c>
      <c r="S120" s="15" t="s">
        <v>226</v>
      </c>
    </row>
    <row r="121" spans="1:19" s="97" customFormat="1">
      <c r="A121" s="10" t="s">
        <v>228</v>
      </c>
      <c r="B121" s="15" t="s">
        <v>454</v>
      </c>
      <c r="C121" s="15">
        <v>1</v>
      </c>
      <c r="D121" s="10" t="s">
        <v>225</v>
      </c>
      <c r="E121" s="10" t="s">
        <v>477</v>
      </c>
      <c r="F121" s="10">
        <v>1</v>
      </c>
      <c r="G121" s="15" t="s">
        <v>121</v>
      </c>
      <c r="H121" s="15" t="s">
        <v>121</v>
      </c>
      <c r="I121" s="15">
        <v>0</v>
      </c>
      <c r="J121" s="10" t="s">
        <v>162</v>
      </c>
      <c r="K121" s="15" t="s">
        <v>384</v>
      </c>
      <c r="L121" s="15">
        <v>3</v>
      </c>
      <c r="M121" s="15" t="s">
        <v>153</v>
      </c>
      <c r="N121" s="15" t="s">
        <v>430</v>
      </c>
      <c r="O121" s="15">
        <v>0.25</v>
      </c>
      <c r="P121" s="9">
        <v>130</v>
      </c>
      <c r="Q121" s="1">
        <v>20</v>
      </c>
      <c r="R121" s="10">
        <v>40</v>
      </c>
      <c r="S121" s="15" t="s">
        <v>226</v>
      </c>
    </row>
    <row r="122" spans="1:19" s="97" customFormat="1">
      <c r="A122" s="10" t="s">
        <v>229</v>
      </c>
      <c r="B122" s="15" t="s">
        <v>486</v>
      </c>
      <c r="C122" s="15">
        <v>1</v>
      </c>
      <c r="D122" s="10" t="s">
        <v>225</v>
      </c>
      <c r="E122" s="10" t="s">
        <v>477</v>
      </c>
      <c r="F122" s="10">
        <v>1</v>
      </c>
      <c r="G122" s="15" t="s">
        <v>121</v>
      </c>
      <c r="H122" s="15" t="s">
        <v>121</v>
      </c>
      <c r="I122" s="15">
        <v>0</v>
      </c>
      <c r="J122" s="10" t="s">
        <v>162</v>
      </c>
      <c r="K122" s="15" t="s">
        <v>384</v>
      </c>
      <c r="L122" s="15">
        <v>3</v>
      </c>
      <c r="M122" s="15" t="s">
        <v>153</v>
      </c>
      <c r="N122" s="15" t="s">
        <v>430</v>
      </c>
      <c r="O122" s="15">
        <v>0.25</v>
      </c>
      <c r="P122" s="9">
        <v>130</v>
      </c>
      <c r="Q122" s="1">
        <v>20</v>
      </c>
      <c r="R122" s="10">
        <v>61</v>
      </c>
      <c r="S122" s="15" t="s">
        <v>226</v>
      </c>
    </row>
    <row r="123" spans="1:19" s="97" customFormat="1" ht="15" customHeight="1">
      <c r="A123" s="10" t="s">
        <v>230</v>
      </c>
      <c r="B123" s="15" t="s">
        <v>487</v>
      </c>
      <c r="C123" s="15">
        <v>1</v>
      </c>
      <c r="D123" s="10" t="s">
        <v>225</v>
      </c>
      <c r="E123" s="10" t="s">
        <v>477</v>
      </c>
      <c r="F123" s="10">
        <v>1</v>
      </c>
      <c r="G123" s="15" t="s">
        <v>121</v>
      </c>
      <c r="H123" s="15" t="s">
        <v>121</v>
      </c>
      <c r="I123" s="15">
        <v>0</v>
      </c>
      <c r="J123" s="10" t="s">
        <v>162</v>
      </c>
      <c r="K123" s="15" t="s">
        <v>384</v>
      </c>
      <c r="L123" s="15">
        <v>3</v>
      </c>
      <c r="M123" s="15" t="s">
        <v>153</v>
      </c>
      <c r="N123" s="15" t="s">
        <v>430</v>
      </c>
      <c r="O123" s="15">
        <v>0.25</v>
      </c>
      <c r="P123" s="9">
        <v>130</v>
      </c>
      <c r="Q123" s="1">
        <v>20</v>
      </c>
      <c r="R123" s="10">
        <v>28</v>
      </c>
      <c r="S123" s="15" t="s">
        <v>226</v>
      </c>
    </row>
    <row r="124" spans="1:19" s="97" customFormat="1">
      <c r="A124" s="10" t="s">
        <v>231</v>
      </c>
      <c r="B124" s="15" t="s">
        <v>488</v>
      </c>
      <c r="C124" s="15">
        <v>1</v>
      </c>
      <c r="D124" s="10" t="s">
        <v>120</v>
      </c>
      <c r="E124" s="55" t="s">
        <v>457</v>
      </c>
      <c r="F124" s="10">
        <v>0.5</v>
      </c>
      <c r="G124" s="15" t="s">
        <v>232</v>
      </c>
      <c r="H124" s="15" t="s">
        <v>416</v>
      </c>
      <c r="I124" s="15">
        <v>0.01</v>
      </c>
      <c r="J124" s="10" t="s">
        <v>121</v>
      </c>
      <c r="K124" s="15" t="s">
        <v>121</v>
      </c>
      <c r="L124" s="15">
        <v>0</v>
      </c>
      <c r="M124" s="15" t="s">
        <v>233</v>
      </c>
      <c r="N124" s="15" t="s">
        <v>431</v>
      </c>
      <c r="O124" s="15">
        <v>0.6</v>
      </c>
      <c r="P124" s="9">
        <v>140</v>
      </c>
      <c r="Q124" s="1">
        <v>12</v>
      </c>
      <c r="R124" s="10">
        <v>86</v>
      </c>
      <c r="S124" s="15" t="s">
        <v>234</v>
      </c>
    </row>
    <row r="125" spans="1:19">
      <c r="A125" s="10" t="s">
        <v>235</v>
      </c>
      <c r="B125" s="33" t="s">
        <v>489</v>
      </c>
      <c r="C125" s="15">
        <v>1</v>
      </c>
      <c r="D125" s="10" t="s">
        <v>120</v>
      </c>
      <c r="E125" s="55" t="s">
        <v>457</v>
      </c>
      <c r="F125" s="10">
        <v>0.5</v>
      </c>
      <c r="G125" s="15" t="s">
        <v>232</v>
      </c>
      <c r="H125" s="15" t="s">
        <v>416</v>
      </c>
      <c r="I125" s="15">
        <v>0.1</v>
      </c>
      <c r="J125" s="10" t="s">
        <v>121</v>
      </c>
      <c r="K125" s="15" t="s">
        <v>121</v>
      </c>
      <c r="L125" s="15">
        <v>0</v>
      </c>
      <c r="M125" s="15" t="s">
        <v>233</v>
      </c>
      <c r="N125" s="15" t="s">
        <v>431</v>
      </c>
      <c r="O125" s="15">
        <v>0.6</v>
      </c>
      <c r="P125" s="9">
        <v>140</v>
      </c>
      <c r="Q125" s="1">
        <v>12</v>
      </c>
      <c r="R125" s="10">
        <v>89</v>
      </c>
      <c r="S125" s="15" t="s">
        <v>234</v>
      </c>
    </row>
    <row r="126" spans="1:19">
      <c r="A126" s="10" t="s">
        <v>236</v>
      </c>
      <c r="B126" s="33" t="s">
        <v>371</v>
      </c>
      <c r="C126" s="15">
        <v>1</v>
      </c>
      <c r="D126" s="10" t="s">
        <v>120</v>
      </c>
      <c r="E126" s="55" t="s">
        <v>457</v>
      </c>
      <c r="F126" s="10">
        <v>0.5</v>
      </c>
      <c r="G126" s="15" t="s">
        <v>232</v>
      </c>
      <c r="H126" s="15" t="s">
        <v>416</v>
      </c>
      <c r="I126" s="15">
        <v>0.01</v>
      </c>
      <c r="J126" s="10" t="s">
        <v>121</v>
      </c>
      <c r="K126" s="15" t="s">
        <v>121</v>
      </c>
      <c r="L126" s="15">
        <v>0</v>
      </c>
      <c r="M126" s="15" t="s">
        <v>233</v>
      </c>
      <c r="N126" s="15" t="s">
        <v>431</v>
      </c>
      <c r="O126" s="15">
        <v>0.6</v>
      </c>
      <c r="P126" s="9">
        <v>140</v>
      </c>
      <c r="Q126" s="1">
        <v>12</v>
      </c>
      <c r="R126" s="10">
        <v>99</v>
      </c>
      <c r="S126" s="15" t="s">
        <v>234</v>
      </c>
    </row>
    <row r="127" spans="1:19">
      <c r="A127" s="10" t="s">
        <v>237</v>
      </c>
      <c r="B127" s="33" t="s">
        <v>490</v>
      </c>
      <c r="C127" s="15">
        <v>1</v>
      </c>
      <c r="D127" s="10" t="s">
        <v>120</v>
      </c>
      <c r="E127" s="55" t="s">
        <v>457</v>
      </c>
      <c r="F127" s="10">
        <v>0.5</v>
      </c>
      <c r="G127" s="15" t="s">
        <v>232</v>
      </c>
      <c r="H127" s="15" t="s">
        <v>416</v>
      </c>
      <c r="I127" s="15">
        <v>0.01</v>
      </c>
      <c r="J127" s="10" t="s">
        <v>121</v>
      </c>
      <c r="K127" s="15" t="s">
        <v>121</v>
      </c>
      <c r="L127" s="15">
        <v>0</v>
      </c>
      <c r="M127" s="15" t="s">
        <v>233</v>
      </c>
      <c r="N127" s="15" t="s">
        <v>431</v>
      </c>
      <c r="O127" s="15">
        <v>0.6</v>
      </c>
      <c r="P127" s="9">
        <v>140</v>
      </c>
      <c r="Q127" s="1">
        <v>12</v>
      </c>
      <c r="R127" s="10">
        <v>95</v>
      </c>
      <c r="S127" s="15" t="s">
        <v>234</v>
      </c>
    </row>
    <row r="128" spans="1:19">
      <c r="A128" s="10" t="s">
        <v>238</v>
      </c>
      <c r="B128" s="33" t="s">
        <v>491</v>
      </c>
      <c r="C128" s="15">
        <v>1</v>
      </c>
      <c r="D128" s="10" t="s">
        <v>120</v>
      </c>
      <c r="E128" s="55" t="s">
        <v>457</v>
      </c>
      <c r="F128" s="10">
        <v>0.5</v>
      </c>
      <c r="G128" s="15" t="s">
        <v>232</v>
      </c>
      <c r="H128" s="15" t="s">
        <v>416</v>
      </c>
      <c r="I128" s="15">
        <v>0.1</v>
      </c>
      <c r="J128" s="10" t="s">
        <v>121</v>
      </c>
      <c r="K128" s="15" t="s">
        <v>121</v>
      </c>
      <c r="L128" s="15">
        <v>0</v>
      </c>
      <c r="M128" s="15" t="s">
        <v>233</v>
      </c>
      <c r="N128" s="15" t="s">
        <v>431</v>
      </c>
      <c r="O128" s="15">
        <v>0.6</v>
      </c>
      <c r="P128" s="9">
        <v>140</v>
      </c>
      <c r="Q128" s="1">
        <v>12</v>
      </c>
      <c r="R128" s="10">
        <v>80</v>
      </c>
      <c r="S128" s="15" t="s">
        <v>234</v>
      </c>
    </row>
    <row r="129" spans="1:19">
      <c r="A129" s="10" t="s">
        <v>119</v>
      </c>
      <c r="B129" s="15" t="s">
        <v>369</v>
      </c>
      <c r="C129" s="15">
        <v>1</v>
      </c>
      <c r="D129" s="10" t="s">
        <v>239</v>
      </c>
      <c r="E129" s="10" t="s">
        <v>494</v>
      </c>
      <c r="F129" s="10">
        <v>1</v>
      </c>
      <c r="G129" s="15" t="s">
        <v>15</v>
      </c>
      <c r="H129" s="15" t="s">
        <v>392</v>
      </c>
      <c r="I129" s="15">
        <v>1.28</v>
      </c>
      <c r="J129" s="10" t="s">
        <v>162</v>
      </c>
      <c r="K129" s="15" t="s">
        <v>384</v>
      </c>
      <c r="L129" s="15">
        <v>2</v>
      </c>
      <c r="M129" s="15" t="s">
        <v>240</v>
      </c>
      <c r="N129" s="14" t="s">
        <v>437</v>
      </c>
      <c r="O129" s="15">
        <v>0.5</v>
      </c>
      <c r="P129" s="9">
        <v>60</v>
      </c>
      <c r="Q129" s="1">
        <v>0.17</v>
      </c>
      <c r="R129" s="10">
        <v>93</v>
      </c>
      <c r="S129" s="15" t="s">
        <v>241</v>
      </c>
    </row>
    <row r="130" spans="1:19">
      <c r="A130" s="10" t="s">
        <v>242</v>
      </c>
      <c r="B130" s="33" t="s">
        <v>518</v>
      </c>
      <c r="C130" s="15">
        <v>1</v>
      </c>
      <c r="D130" s="10" t="s">
        <v>243</v>
      </c>
      <c r="E130" s="10" t="s">
        <v>495</v>
      </c>
      <c r="F130" s="10">
        <v>1</v>
      </c>
      <c r="G130" s="15" t="s">
        <v>15</v>
      </c>
      <c r="H130" s="15" t="s">
        <v>392</v>
      </c>
      <c r="I130" s="15">
        <v>1.28</v>
      </c>
      <c r="J130" s="10" t="s">
        <v>162</v>
      </c>
      <c r="K130" s="15" t="s">
        <v>384</v>
      </c>
      <c r="L130" s="15">
        <v>2</v>
      </c>
      <c r="M130" s="15" t="s">
        <v>240</v>
      </c>
      <c r="N130" s="14" t="s">
        <v>437</v>
      </c>
      <c r="O130" s="15">
        <v>0.5</v>
      </c>
      <c r="P130" s="9">
        <v>60</v>
      </c>
      <c r="Q130" s="1">
        <v>0.17</v>
      </c>
      <c r="R130" s="10">
        <v>89</v>
      </c>
      <c r="S130" s="15" t="s">
        <v>241</v>
      </c>
    </row>
    <row r="131" spans="1:19" ht="18">
      <c r="A131" s="10" t="s">
        <v>244</v>
      </c>
      <c r="B131" s="33" t="s">
        <v>520</v>
      </c>
      <c r="C131" s="15">
        <v>1</v>
      </c>
      <c r="D131" s="10" t="s">
        <v>245</v>
      </c>
      <c r="E131" s="10" t="s">
        <v>496</v>
      </c>
      <c r="F131" s="10">
        <v>1</v>
      </c>
      <c r="G131" s="15" t="s">
        <v>15</v>
      </c>
      <c r="H131" s="15" t="s">
        <v>392</v>
      </c>
      <c r="I131" s="15">
        <v>1.28</v>
      </c>
      <c r="J131" s="10" t="s">
        <v>162</v>
      </c>
      <c r="K131" s="15" t="s">
        <v>384</v>
      </c>
      <c r="L131" s="15">
        <v>2</v>
      </c>
      <c r="M131" s="15" t="s">
        <v>240</v>
      </c>
      <c r="N131" s="14" t="s">
        <v>437</v>
      </c>
      <c r="O131" s="15">
        <v>0.5</v>
      </c>
      <c r="P131" s="9">
        <v>60</v>
      </c>
      <c r="Q131" s="1">
        <v>0.5</v>
      </c>
      <c r="R131" s="10">
        <v>85</v>
      </c>
      <c r="S131" s="15" t="s">
        <v>241</v>
      </c>
    </row>
    <row r="132" spans="1:19">
      <c r="A132" s="10" t="s">
        <v>246</v>
      </c>
      <c r="B132" s="33" t="s">
        <v>519</v>
      </c>
      <c r="C132" s="15">
        <v>1</v>
      </c>
      <c r="D132" s="10" t="s">
        <v>247</v>
      </c>
      <c r="E132" s="10" t="s">
        <v>466</v>
      </c>
      <c r="F132" s="10">
        <v>1</v>
      </c>
      <c r="G132" s="15" t="s">
        <v>15</v>
      </c>
      <c r="H132" s="15" t="s">
        <v>392</v>
      </c>
      <c r="I132" s="15">
        <v>1.28</v>
      </c>
      <c r="J132" s="10" t="s">
        <v>162</v>
      </c>
      <c r="K132" s="15" t="s">
        <v>384</v>
      </c>
      <c r="L132" s="15">
        <v>2</v>
      </c>
      <c r="M132" s="15" t="s">
        <v>240</v>
      </c>
      <c r="N132" s="14" t="s">
        <v>437</v>
      </c>
      <c r="O132" s="15">
        <v>0.5</v>
      </c>
      <c r="P132" s="9">
        <v>60</v>
      </c>
      <c r="Q132" s="1">
        <v>0.66</v>
      </c>
      <c r="R132" s="10">
        <v>92</v>
      </c>
      <c r="S132" s="15" t="s">
        <v>241</v>
      </c>
    </row>
    <row r="133" spans="1:19">
      <c r="A133" s="10" t="s">
        <v>248</v>
      </c>
      <c r="B133" s="33" t="s">
        <v>521</v>
      </c>
      <c r="C133" s="15">
        <v>1</v>
      </c>
      <c r="D133" s="10" t="s">
        <v>249</v>
      </c>
      <c r="E133" s="10" t="s">
        <v>497</v>
      </c>
      <c r="F133" s="10">
        <v>1</v>
      </c>
      <c r="G133" s="15" t="s">
        <v>15</v>
      </c>
      <c r="H133" s="15" t="s">
        <v>392</v>
      </c>
      <c r="I133" s="15">
        <v>1.28</v>
      </c>
      <c r="J133" s="10" t="s">
        <v>162</v>
      </c>
      <c r="K133" s="15" t="s">
        <v>384</v>
      </c>
      <c r="L133" s="15">
        <v>2</v>
      </c>
      <c r="M133" s="15" t="s">
        <v>240</v>
      </c>
      <c r="N133" s="14" t="s">
        <v>437</v>
      </c>
      <c r="O133" s="15">
        <v>0.5</v>
      </c>
      <c r="P133" s="9">
        <v>60</v>
      </c>
      <c r="Q133" s="1">
        <v>0.5</v>
      </c>
      <c r="R133" s="10">
        <v>84</v>
      </c>
      <c r="S133" s="15" t="s">
        <v>241</v>
      </c>
    </row>
    <row r="134" spans="1:19">
      <c r="A134" s="10" t="s">
        <v>250</v>
      </c>
      <c r="B134" s="33" t="s">
        <v>522</v>
      </c>
      <c r="C134" s="15">
        <v>1</v>
      </c>
      <c r="D134" s="10" t="s">
        <v>251</v>
      </c>
      <c r="E134" s="10" t="s">
        <v>498</v>
      </c>
      <c r="F134" s="10">
        <v>1</v>
      </c>
      <c r="G134" s="15" t="s">
        <v>252</v>
      </c>
      <c r="H134" s="15" t="s">
        <v>417</v>
      </c>
      <c r="I134" s="15">
        <v>1</v>
      </c>
      <c r="J134" s="10" t="s">
        <v>121</v>
      </c>
      <c r="K134" s="15" t="s">
        <v>121</v>
      </c>
      <c r="L134" s="15">
        <v>0</v>
      </c>
      <c r="M134" s="17" t="s">
        <v>48</v>
      </c>
      <c r="N134" s="15" t="s">
        <v>425</v>
      </c>
      <c r="O134" s="15">
        <v>1</v>
      </c>
      <c r="P134" s="9">
        <v>80</v>
      </c>
      <c r="Q134" s="1">
        <v>8</v>
      </c>
      <c r="R134" s="10">
        <v>50</v>
      </c>
      <c r="S134" s="15" t="s">
        <v>253</v>
      </c>
    </row>
    <row r="135" spans="1:19">
      <c r="A135" s="10" t="s">
        <v>254</v>
      </c>
      <c r="B135" s="33" t="s">
        <v>523</v>
      </c>
      <c r="C135" s="15">
        <v>1</v>
      </c>
      <c r="D135" s="10" t="s">
        <v>255</v>
      </c>
      <c r="E135" s="10" t="s">
        <v>476</v>
      </c>
      <c r="F135" s="10">
        <v>1</v>
      </c>
      <c r="G135" s="15" t="s">
        <v>252</v>
      </c>
      <c r="H135" s="15" t="s">
        <v>417</v>
      </c>
      <c r="I135" s="15">
        <v>1</v>
      </c>
      <c r="J135" s="10" t="s">
        <v>121</v>
      </c>
      <c r="K135" s="15" t="s">
        <v>121</v>
      </c>
      <c r="L135" s="15">
        <v>0</v>
      </c>
      <c r="M135" s="17" t="s">
        <v>48</v>
      </c>
      <c r="N135" s="15" t="s">
        <v>425</v>
      </c>
      <c r="O135" s="15">
        <v>1</v>
      </c>
      <c r="P135" s="9">
        <v>80</v>
      </c>
      <c r="Q135" s="1">
        <v>6</v>
      </c>
      <c r="R135" s="10">
        <v>87</v>
      </c>
      <c r="S135" s="15" t="s">
        <v>253</v>
      </c>
    </row>
    <row r="136" spans="1:19">
      <c r="A136" s="10" t="s">
        <v>256</v>
      </c>
      <c r="B136" s="33" t="s">
        <v>524</v>
      </c>
      <c r="C136" s="15">
        <v>1</v>
      </c>
      <c r="D136" s="10" t="s">
        <v>257</v>
      </c>
      <c r="E136" s="10" t="s">
        <v>499</v>
      </c>
      <c r="F136" s="10">
        <v>1</v>
      </c>
      <c r="G136" s="15" t="s">
        <v>252</v>
      </c>
      <c r="H136" s="15" t="s">
        <v>417</v>
      </c>
      <c r="I136" s="15">
        <v>1</v>
      </c>
      <c r="J136" s="10" t="s">
        <v>121</v>
      </c>
      <c r="K136" s="15" t="s">
        <v>121</v>
      </c>
      <c r="L136" s="15">
        <v>0</v>
      </c>
      <c r="M136" s="17" t="s">
        <v>48</v>
      </c>
      <c r="N136" s="15" t="s">
        <v>425</v>
      </c>
      <c r="O136" s="15">
        <v>1</v>
      </c>
      <c r="P136" s="9">
        <v>80</v>
      </c>
      <c r="Q136" s="1">
        <v>7</v>
      </c>
      <c r="R136" s="10">
        <v>62</v>
      </c>
      <c r="S136" s="15" t="s">
        <v>253</v>
      </c>
    </row>
    <row r="137" spans="1:19">
      <c r="A137" s="10" t="s">
        <v>258</v>
      </c>
      <c r="B137" s="33" t="s">
        <v>525</v>
      </c>
      <c r="C137" s="15">
        <v>1</v>
      </c>
      <c r="D137" s="10" t="s">
        <v>255</v>
      </c>
      <c r="E137" s="10" t="s">
        <v>476</v>
      </c>
      <c r="F137" s="10">
        <v>1</v>
      </c>
      <c r="G137" s="15" t="s">
        <v>252</v>
      </c>
      <c r="H137" s="15" t="s">
        <v>417</v>
      </c>
      <c r="I137" s="15">
        <v>1</v>
      </c>
      <c r="J137" s="10" t="s">
        <v>121</v>
      </c>
      <c r="K137" s="15" t="s">
        <v>121</v>
      </c>
      <c r="L137" s="15">
        <v>0</v>
      </c>
      <c r="M137" s="17" t="s">
        <v>48</v>
      </c>
      <c r="N137" s="15" t="s">
        <v>425</v>
      </c>
      <c r="O137" s="15">
        <v>1</v>
      </c>
      <c r="P137" s="9">
        <v>80</v>
      </c>
      <c r="Q137" s="1">
        <v>24</v>
      </c>
      <c r="R137" s="10">
        <v>78</v>
      </c>
      <c r="S137" s="15" t="s">
        <v>253</v>
      </c>
    </row>
    <row r="138" spans="1:19">
      <c r="A138" s="10" t="s">
        <v>259</v>
      </c>
      <c r="B138" s="33" t="s">
        <v>526</v>
      </c>
      <c r="C138" s="15">
        <v>1</v>
      </c>
      <c r="D138" s="10" t="s">
        <v>260</v>
      </c>
      <c r="E138" s="10" t="s">
        <v>500</v>
      </c>
      <c r="F138" s="10">
        <v>1</v>
      </c>
      <c r="G138" s="15" t="s">
        <v>252</v>
      </c>
      <c r="H138" s="15" t="s">
        <v>417</v>
      </c>
      <c r="I138" s="15">
        <v>1</v>
      </c>
      <c r="J138" s="10" t="s">
        <v>121</v>
      </c>
      <c r="K138" s="15" t="s">
        <v>121</v>
      </c>
      <c r="L138" s="15">
        <v>0</v>
      </c>
      <c r="M138" s="17" t="s">
        <v>48</v>
      </c>
      <c r="N138" s="15" t="s">
        <v>425</v>
      </c>
      <c r="O138" s="15">
        <v>1</v>
      </c>
      <c r="P138" s="9">
        <v>80</v>
      </c>
      <c r="Q138" s="1">
        <v>6</v>
      </c>
      <c r="R138" s="10">
        <v>51</v>
      </c>
      <c r="S138" s="15" t="s">
        <v>253</v>
      </c>
    </row>
    <row r="139" spans="1:19">
      <c r="A139" s="10" t="s">
        <v>214</v>
      </c>
      <c r="B139" s="32" t="s">
        <v>449</v>
      </c>
      <c r="C139" s="15">
        <v>1.1000000000000001</v>
      </c>
      <c r="D139" s="10" t="s">
        <v>120</v>
      </c>
      <c r="E139" s="55" t="s">
        <v>457</v>
      </c>
      <c r="F139" s="10">
        <v>1</v>
      </c>
      <c r="G139" s="15" t="s">
        <v>28</v>
      </c>
      <c r="H139" s="14" t="s">
        <v>394</v>
      </c>
      <c r="I139" s="15">
        <v>1</v>
      </c>
      <c r="J139" s="10" t="s">
        <v>121</v>
      </c>
      <c r="K139" s="15" t="s">
        <v>121</v>
      </c>
      <c r="L139" s="15">
        <v>0</v>
      </c>
      <c r="M139" s="15" t="s">
        <v>174</v>
      </c>
      <c r="N139" s="15" t="s">
        <v>435</v>
      </c>
      <c r="O139" s="15">
        <v>0.625</v>
      </c>
      <c r="P139" s="9">
        <v>25</v>
      </c>
      <c r="Q139" s="1">
        <v>0.33</v>
      </c>
      <c r="R139" s="10">
        <v>99</v>
      </c>
      <c r="S139" s="15" t="s">
        <v>261</v>
      </c>
    </row>
    <row r="140" spans="1:19">
      <c r="A140" s="10" t="s">
        <v>262</v>
      </c>
      <c r="B140" s="33" t="s">
        <v>527</v>
      </c>
      <c r="C140" s="15">
        <v>1.1000000000000001</v>
      </c>
      <c r="D140" s="10" t="s">
        <v>120</v>
      </c>
      <c r="E140" s="55" t="s">
        <v>457</v>
      </c>
      <c r="F140" s="10">
        <v>1</v>
      </c>
      <c r="G140" s="15" t="s">
        <v>28</v>
      </c>
      <c r="H140" s="14" t="s">
        <v>394</v>
      </c>
      <c r="I140" s="15">
        <v>1</v>
      </c>
      <c r="J140" s="10" t="s">
        <v>121</v>
      </c>
      <c r="K140" s="15" t="s">
        <v>121</v>
      </c>
      <c r="L140" s="15">
        <v>0</v>
      </c>
      <c r="M140" s="15" t="s">
        <v>174</v>
      </c>
      <c r="N140" s="15" t="s">
        <v>435</v>
      </c>
      <c r="O140" s="15">
        <v>0.625</v>
      </c>
      <c r="P140" s="9">
        <v>25</v>
      </c>
      <c r="Q140" s="1">
        <v>0.33</v>
      </c>
      <c r="R140" s="10">
        <v>85</v>
      </c>
      <c r="S140" s="15" t="s">
        <v>261</v>
      </c>
    </row>
    <row r="141" spans="1:19">
      <c r="A141" s="10" t="s">
        <v>263</v>
      </c>
      <c r="B141" s="33" t="s">
        <v>528</v>
      </c>
      <c r="C141" s="15">
        <v>1.1000000000000001</v>
      </c>
      <c r="D141" s="10" t="s">
        <v>120</v>
      </c>
      <c r="E141" s="55" t="s">
        <v>457</v>
      </c>
      <c r="F141" s="10">
        <v>1</v>
      </c>
      <c r="G141" s="15" t="s">
        <v>28</v>
      </c>
      <c r="H141" s="14" t="s">
        <v>394</v>
      </c>
      <c r="I141" s="15">
        <v>1</v>
      </c>
      <c r="J141" s="10" t="s">
        <v>121</v>
      </c>
      <c r="K141" s="15" t="s">
        <v>121</v>
      </c>
      <c r="L141" s="15">
        <v>0</v>
      </c>
      <c r="M141" s="15" t="s">
        <v>174</v>
      </c>
      <c r="N141" s="15" t="s">
        <v>435</v>
      </c>
      <c r="O141" s="15">
        <v>0.625</v>
      </c>
      <c r="P141" s="9">
        <v>25</v>
      </c>
      <c r="Q141" s="1">
        <v>0.33</v>
      </c>
      <c r="R141" s="10">
        <v>91</v>
      </c>
      <c r="S141" s="15" t="s">
        <v>261</v>
      </c>
    </row>
    <row r="142" spans="1:19">
      <c r="A142" s="10" t="s">
        <v>119</v>
      </c>
      <c r="B142" s="15" t="s">
        <v>369</v>
      </c>
      <c r="C142" s="15">
        <v>1.1000000000000001</v>
      </c>
      <c r="D142" s="10" t="s">
        <v>264</v>
      </c>
      <c r="E142" s="10" t="s">
        <v>516</v>
      </c>
      <c r="F142" s="10">
        <v>1</v>
      </c>
      <c r="G142" s="15" t="s">
        <v>28</v>
      </c>
      <c r="H142" s="14" t="s">
        <v>394</v>
      </c>
      <c r="I142" s="15">
        <v>1</v>
      </c>
      <c r="J142" s="10" t="s">
        <v>121</v>
      </c>
      <c r="K142" s="15" t="s">
        <v>121</v>
      </c>
      <c r="L142" s="15">
        <v>0</v>
      </c>
      <c r="M142" s="15" t="s">
        <v>174</v>
      </c>
      <c r="N142" s="15" t="s">
        <v>435</v>
      </c>
      <c r="O142" s="15">
        <v>0.625</v>
      </c>
      <c r="P142" s="9">
        <v>25</v>
      </c>
      <c r="Q142" s="1">
        <v>0.33</v>
      </c>
      <c r="R142" s="10">
        <v>68</v>
      </c>
      <c r="S142" s="15" t="s">
        <v>261</v>
      </c>
    </row>
    <row r="143" spans="1:19">
      <c r="A143" s="10" t="s">
        <v>265</v>
      </c>
      <c r="B143" s="33" t="s">
        <v>529</v>
      </c>
      <c r="C143" s="15">
        <v>1.1000000000000001</v>
      </c>
      <c r="D143" s="10" t="s">
        <v>120</v>
      </c>
      <c r="E143" s="55" t="s">
        <v>457</v>
      </c>
      <c r="F143" s="10">
        <v>1</v>
      </c>
      <c r="G143" s="15" t="s">
        <v>28</v>
      </c>
      <c r="H143" s="14" t="s">
        <v>394</v>
      </c>
      <c r="I143" s="15">
        <v>1</v>
      </c>
      <c r="J143" s="10" t="s">
        <v>121</v>
      </c>
      <c r="K143" s="15" t="s">
        <v>121</v>
      </c>
      <c r="L143" s="15">
        <v>0</v>
      </c>
      <c r="M143" s="15" t="s">
        <v>174</v>
      </c>
      <c r="N143" s="15" t="s">
        <v>435</v>
      </c>
      <c r="O143" s="15">
        <v>0.625</v>
      </c>
      <c r="P143" s="9">
        <v>25</v>
      </c>
      <c r="Q143" s="1">
        <v>0.33</v>
      </c>
      <c r="R143" s="10">
        <v>69</v>
      </c>
      <c r="S143" s="15" t="s">
        <v>261</v>
      </c>
    </row>
    <row r="144" spans="1:19">
      <c r="A144" s="10" t="s">
        <v>266</v>
      </c>
      <c r="B144" s="33" t="s">
        <v>530</v>
      </c>
      <c r="C144" s="15">
        <v>1</v>
      </c>
      <c r="D144" s="10" t="s">
        <v>267</v>
      </c>
      <c r="E144" s="10" t="s">
        <v>517</v>
      </c>
      <c r="F144" s="10">
        <v>1</v>
      </c>
      <c r="G144" s="15" t="s">
        <v>268</v>
      </c>
      <c r="H144" s="15" t="s">
        <v>418</v>
      </c>
      <c r="I144" s="15">
        <v>1.23</v>
      </c>
      <c r="J144" s="44" t="s">
        <v>196</v>
      </c>
      <c r="K144" s="14" t="s">
        <v>381</v>
      </c>
      <c r="L144" s="15">
        <v>2.52</v>
      </c>
      <c r="M144" s="15" t="s">
        <v>40</v>
      </c>
      <c r="N144" s="14" t="s">
        <v>423</v>
      </c>
      <c r="O144" s="15">
        <v>3.4000000000000002E-2</v>
      </c>
      <c r="P144" s="9">
        <v>70</v>
      </c>
      <c r="Q144" s="1">
        <v>2</v>
      </c>
      <c r="R144" s="10">
        <v>84</v>
      </c>
      <c r="S144" s="15" t="s">
        <v>269</v>
      </c>
    </row>
    <row r="145" spans="1:19">
      <c r="A145" s="26" t="s">
        <v>372</v>
      </c>
      <c r="B145" s="33" t="s">
        <v>371</v>
      </c>
      <c r="C145" s="15">
        <v>1</v>
      </c>
      <c r="D145" s="10" t="s">
        <v>247</v>
      </c>
      <c r="E145" s="10" t="s">
        <v>466</v>
      </c>
      <c r="F145" s="10">
        <v>1</v>
      </c>
      <c r="G145" s="15" t="s">
        <v>268</v>
      </c>
      <c r="H145" s="15" t="s">
        <v>418</v>
      </c>
      <c r="I145" s="15">
        <v>1.23</v>
      </c>
      <c r="J145" s="44" t="s">
        <v>196</v>
      </c>
      <c r="K145" s="14" t="s">
        <v>381</v>
      </c>
      <c r="L145" s="15">
        <v>2.52</v>
      </c>
      <c r="M145" s="15" t="s">
        <v>40</v>
      </c>
      <c r="N145" s="14" t="s">
        <v>423</v>
      </c>
      <c r="O145" s="15">
        <v>3.4000000000000002E-2</v>
      </c>
      <c r="P145" s="9">
        <v>70</v>
      </c>
      <c r="Q145" s="1">
        <v>2</v>
      </c>
      <c r="R145" s="10">
        <v>92</v>
      </c>
      <c r="S145" s="15" t="s">
        <v>269</v>
      </c>
    </row>
    <row r="146" spans="1:19">
      <c r="A146" s="10" t="s">
        <v>119</v>
      </c>
      <c r="B146" s="15" t="s">
        <v>369</v>
      </c>
      <c r="C146" s="15">
        <v>1</v>
      </c>
      <c r="D146" s="10" t="s">
        <v>270</v>
      </c>
      <c r="E146" s="10" t="s">
        <v>501</v>
      </c>
      <c r="F146" s="10">
        <v>1</v>
      </c>
      <c r="G146" s="15" t="s">
        <v>268</v>
      </c>
      <c r="H146" s="15" t="s">
        <v>418</v>
      </c>
      <c r="I146" s="15">
        <v>1.23</v>
      </c>
      <c r="J146" s="44" t="s">
        <v>196</v>
      </c>
      <c r="K146" s="14" t="s">
        <v>381</v>
      </c>
      <c r="L146" s="15">
        <v>2.52</v>
      </c>
      <c r="M146" s="15" t="s">
        <v>40</v>
      </c>
      <c r="N146" s="14" t="s">
        <v>423</v>
      </c>
      <c r="O146" s="15">
        <v>3.4000000000000002E-2</v>
      </c>
      <c r="P146" s="9">
        <v>70</v>
      </c>
      <c r="Q146" s="1">
        <v>4</v>
      </c>
      <c r="R146" s="10">
        <v>82</v>
      </c>
      <c r="S146" s="15" t="s">
        <v>269</v>
      </c>
    </row>
    <row r="147" spans="1:19">
      <c r="A147" s="10" t="s">
        <v>271</v>
      </c>
      <c r="B147" s="33" t="s">
        <v>531</v>
      </c>
      <c r="C147" s="15">
        <v>1</v>
      </c>
      <c r="D147" s="10" t="s">
        <v>247</v>
      </c>
      <c r="E147" s="10" t="s">
        <v>466</v>
      </c>
      <c r="F147" s="10">
        <v>1</v>
      </c>
      <c r="G147" s="15" t="s">
        <v>268</v>
      </c>
      <c r="H147" s="15" t="s">
        <v>418</v>
      </c>
      <c r="I147" s="15">
        <v>1.23</v>
      </c>
      <c r="J147" s="44" t="s">
        <v>196</v>
      </c>
      <c r="K147" s="14" t="s">
        <v>381</v>
      </c>
      <c r="L147" s="15">
        <v>2.52</v>
      </c>
      <c r="M147" s="15" t="s">
        <v>40</v>
      </c>
      <c r="N147" s="14" t="s">
        <v>423</v>
      </c>
      <c r="O147" s="15">
        <v>3.4000000000000002E-2</v>
      </c>
      <c r="P147" s="9">
        <v>70</v>
      </c>
      <c r="Q147" s="1">
        <v>4</v>
      </c>
      <c r="R147" s="10">
        <v>63</v>
      </c>
      <c r="S147" s="15" t="s">
        <v>269</v>
      </c>
    </row>
    <row r="148" spans="1:19">
      <c r="A148" s="10" t="s">
        <v>119</v>
      </c>
      <c r="B148" s="15" t="s">
        <v>369</v>
      </c>
      <c r="C148" s="15">
        <v>1</v>
      </c>
      <c r="D148" s="10" t="s">
        <v>272</v>
      </c>
      <c r="E148" s="10" t="s">
        <v>502</v>
      </c>
      <c r="F148" s="10">
        <v>1</v>
      </c>
      <c r="G148" s="15" t="s">
        <v>268</v>
      </c>
      <c r="H148" s="15" t="s">
        <v>418</v>
      </c>
      <c r="I148" s="15">
        <v>1.23</v>
      </c>
      <c r="J148" s="44" t="s">
        <v>196</v>
      </c>
      <c r="K148" s="14" t="s">
        <v>381</v>
      </c>
      <c r="L148" s="15">
        <v>2.52</v>
      </c>
      <c r="M148" s="15" t="s">
        <v>40</v>
      </c>
      <c r="N148" s="14" t="s">
        <v>423</v>
      </c>
      <c r="O148" s="15">
        <v>3.4000000000000002E-2</v>
      </c>
      <c r="P148" s="9">
        <v>70</v>
      </c>
      <c r="Q148" s="1">
        <v>4</v>
      </c>
      <c r="R148" s="10">
        <v>48</v>
      </c>
      <c r="S148" s="15" t="s">
        <v>269</v>
      </c>
    </row>
    <row r="149" spans="1:19">
      <c r="A149" s="10" t="s">
        <v>273</v>
      </c>
      <c r="B149" s="33" t="s">
        <v>532</v>
      </c>
      <c r="C149" s="15">
        <v>4</v>
      </c>
      <c r="D149" s="10" t="s">
        <v>274</v>
      </c>
      <c r="E149" s="10" t="s">
        <v>503</v>
      </c>
      <c r="F149" s="10">
        <v>1</v>
      </c>
      <c r="G149" s="15" t="s">
        <v>275</v>
      </c>
      <c r="H149" s="15" t="s">
        <v>419</v>
      </c>
      <c r="I149" s="15">
        <v>1</v>
      </c>
      <c r="J149" s="10" t="s">
        <v>121</v>
      </c>
      <c r="K149" s="15" t="s">
        <v>121</v>
      </c>
      <c r="L149" s="15">
        <v>0</v>
      </c>
      <c r="M149" s="15" t="s">
        <v>153</v>
      </c>
      <c r="N149" s="15" t="s">
        <v>430</v>
      </c>
      <c r="O149" s="15">
        <v>1</v>
      </c>
      <c r="P149" s="9">
        <v>110</v>
      </c>
      <c r="Q149" s="1">
        <v>12</v>
      </c>
      <c r="R149" s="10">
        <v>83</v>
      </c>
      <c r="S149" s="15" t="s">
        <v>276</v>
      </c>
    </row>
    <row r="150" spans="1:19">
      <c r="A150" s="10" t="s">
        <v>277</v>
      </c>
      <c r="B150" s="33" t="s">
        <v>533</v>
      </c>
      <c r="C150" s="15">
        <v>3</v>
      </c>
      <c r="D150" s="10" t="s">
        <v>120</v>
      </c>
      <c r="E150" s="55" t="s">
        <v>457</v>
      </c>
      <c r="F150" s="10">
        <v>1</v>
      </c>
      <c r="G150" s="15" t="s">
        <v>275</v>
      </c>
      <c r="H150" s="15" t="s">
        <v>419</v>
      </c>
      <c r="I150" s="15">
        <v>1</v>
      </c>
      <c r="J150" s="10" t="s">
        <v>121</v>
      </c>
      <c r="K150" s="15" t="s">
        <v>121</v>
      </c>
      <c r="L150" s="15">
        <v>0</v>
      </c>
      <c r="M150" s="15" t="s">
        <v>153</v>
      </c>
      <c r="N150" s="48" t="s">
        <v>430</v>
      </c>
      <c r="O150" s="15">
        <v>1</v>
      </c>
      <c r="P150" s="9">
        <v>110</v>
      </c>
      <c r="Q150" s="1">
        <v>12</v>
      </c>
      <c r="R150" s="10">
        <v>41</v>
      </c>
      <c r="S150" s="15" t="s">
        <v>276</v>
      </c>
    </row>
    <row r="151" spans="1:19">
      <c r="A151" s="10" t="s">
        <v>119</v>
      </c>
      <c r="B151" s="15" t="s">
        <v>369</v>
      </c>
      <c r="C151" s="15">
        <v>4</v>
      </c>
      <c r="D151" s="10" t="s">
        <v>278</v>
      </c>
      <c r="E151" s="10" t="s">
        <v>504</v>
      </c>
      <c r="F151" s="10">
        <v>1</v>
      </c>
      <c r="G151" s="15" t="s">
        <v>275</v>
      </c>
      <c r="H151" s="15" t="s">
        <v>419</v>
      </c>
      <c r="I151" s="15">
        <v>1</v>
      </c>
      <c r="J151" s="10" t="s">
        <v>121</v>
      </c>
      <c r="K151" s="15" t="s">
        <v>121</v>
      </c>
      <c r="L151" s="15">
        <v>0</v>
      </c>
      <c r="M151" s="15" t="s">
        <v>153</v>
      </c>
      <c r="N151" s="15" t="s">
        <v>430</v>
      </c>
      <c r="O151" s="15">
        <v>1</v>
      </c>
      <c r="P151" s="9">
        <v>110</v>
      </c>
      <c r="Q151" s="1">
        <v>12</v>
      </c>
      <c r="R151" s="10">
        <v>90</v>
      </c>
      <c r="S151" s="15" t="s">
        <v>276</v>
      </c>
    </row>
    <row r="152" spans="1:19">
      <c r="A152" s="10" t="s">
        <v>119</v>
      </c>
      <c r="B152" s="15" t="s">
        <v>369</v>
      </c>
      <c r="C152" s="15">
        <v>4</v>
      </c>
      <c r="D152" s="10" t="s">
        <v>279</v>
      </c>
      <c r="E152" s="10" t="s">
        <v>479</v>
      </c>
      <c r="F152" s="10">
        <v>1</v>
      </c>
      <c r="G152" s="15" t="s">
        <v>275</v>
      </c>
      <c r="H152" s="15" t="s">
        <v>419</v>
      </c>
      <c r="I152" s="15">
        <v>1</v>
      </c>
      <c r="J152" s="10" t="s">
        <v>121</v>
      </c>
      <c r="K152" s="15" t="s">
        <v>121</v>
      </c>
      <c r="L152" s="15">
        <v>0</v>
      </c>
      <c r="M152" s="15" t="s">
        <v>153</v>
      </c>
      <c r="N152" s="15" t="s">
        <v>430</v>
      </c>
      <c r="O152" s="15">
        <v>1</v>
      </c>
      <c r="P152" s="9">
        <v>110</v>
      </c>
      <c r="Q152" s="1">
        <v>12</v>
      </c>
      <c r="R152" s="10">
        <v>97</v>
      </c>
      <c r="S152" s="15" t="s">
        <v>276</v>
      </c>
    </row>
    <row r="153" spans="1:19">
      <c r="A153" s="63" t="s">
        <v>372</v>
      </c>
      <c r="B153" s="71" t="s">
        <v>371</v>
      </c>
      <c r="C153" s="62">
        <v>4</v>
      </c>
      <c r="D153" s="70" t="s">
        <v>570</v>
      </c>
      <c r="E153" s="63" t="s">
        <v>571</v>
      </c>
      <c r="F153" s="63">
        <v>1</v>
      </c>
      <c r="G153" s="62" t="s">
        <v>275</v>
      </c>
      <c r="H153" s="62" t="s">
        <v>419</v>
      </c>
      <c r="I153" s="62">
        <v>1</v>
      </c>
      <c r="J153" s="63" t="s">
        <v>121</v>
      </c>
      <c r="K153" s="62" t="s">
        <v>121</v>
      </c>
      <c r="L153" s="62">
        <v>0</v>
      </c>
      <c r="M153" s="62" t="s">
        <v>153</v>
      </c>
      <c r="N153" s="62" t="s">
        <v>430</v>
      </c>
      <c r="O153" s="62">
        <v>1</v>
      </c>
      <c r="P153" s="66">
        <v>110</v>
      </c>
      <c r="Q153" s="67">
        <v>12</v>
      </c>
      <c r="R153" s="63">
        <v>87</v>
      </c>
      <c r="S153" s="62" t="s">
        <v>276</v>
      </c>
    </row>
    <row r="154" spans="1:19">
      <c r="A154" s="26" t="s">
        <v>165</v>
      </c>
      <c r="B154" s="15" t="s">
        <v>370</v>
      </c>
      <c r="C154" s="15">
        <v>1.1000000000000001</v>
      </c>
      <c r="D154" s="10" t="s">
        <v>280</v>
      </c>
      <c r="E154" s="10" t="s">
        <v>505</v>
      </c>
      <c r="F154" s="10">
        <v>1</v>
      </c>
      <c r="G154" s="15" t="s">
        <v>281</v>
      </c>
      <c r="H154" s="15" t="s">
        <v>395</v>
      </c>
      <c r="I154" s="15">
        <v>1.1000000000000001</v>
      </c>
      <c r="J154" s="10" t="s">
        <v>282</v>
      </c>
      <c r="K154" s="15" t="s">
        <v>385</v>
      </c>
      <c r="L154" s="15">
        <v>3.1</v>
      </c>
      <c r="M154" s="15" t="s">
        <v>283</v>
      </c>
      <c r="N154" s="15" t="s">
        <v>438</v>
      </c>
      <c r="O154" s="15">
        <v>0.5</v>
      </c>
      <c r="P154" s="9">
        <v>25</v>
      </c>
      <c r="Q154" s="1">
        <v>2</v>
      </c>
      <c r="R154" s="10">
        <v>97</v>
      </c>
      <c r="S154" s="15" t="s">
        <v>284</v>
      </c>
    </row>
    <row r="155" spans="1:19">
      <c r="A155" s="10" t="s">
        <v>285</v>
      </c>
      <c r="B155" s="33" t="s">
        <v>534</v>
      </c>
      <c r="C155" s="15">
        <v>1.1000000000000001</v>
      </c>
      <c r="D155" s="10" t="s">
        <v>286</v>
      </c>
      <c r="E155" s="10" t="s">
        <v>507</v>
      </c>
      <c r="F155" s="10">
        <v>1</v>
      </c>
      <c r="G155" s="15" t="s">
        <v>281</v>
      </c>
      <c r="H155" s="15" t="s">
        <v>395</v>
      </c>
      <c r="I155" s="15">
        <v>1.1000000000000001</v>
      </c>
      <c r="J155" s="10" t="s">
        <v>282</v>
      </c>
      <c r="K155" s="15" t="s">
        <v>385</v>
      </c>
      <c r="L155" s="15">
        <v>3.1</v>
      </c>
      <c r="M155" s="15" t="s">
        <v>283</v>
      </c>
      <c r="N155" s="15" t="s">
        <v>438</v>
      </c>
      <c r="O155" s="15">
        <v>0.5</v>
      </c>
      <c r="P155" s="9">
        <v>25</v>
      </c>
      <c r="Q155" s="1">
        <v>0.25</v>
      </c>
      <c r="R155" s="10">
        <v>99</v>
      </c>
      <c r="S155" s="15" t="s">
        <v>284</v>
      </c>
    </row>
    <row r="156" spans="1:19">
      <c r="A156" s="10" t="s">
        <v>223</v>
      </c>
      <c r="B156" s="33" t="s">
        <v>452</v>
      </c>
      <c r="C156" s="15">
        <v>1.1000000000000001</v>
      </c>
      <c r="D156" s="10" t="s">
        <v>287</v>
      </c>
      <c r="E156" s="10" t="s">
        <v>508</v>
      </c>
      <c r="F156" s="10">
        <v>1</v>
      </c>
      <c r="G156" s="15" t="s">
        <v>281</v>
      </c>
      <c r="H156" s="15" t="s">
        <v>395</v>
      </c>
      <c r="I156" s="15">
        <v>1.1000000000000001</v>
      </c>
      <c r="J156" s="10" t="s">
        <v>282</v>
      </c>
      <c r="K156" s="15" t="s">
        <v>385</v>
      </c>
      <c r="L156" s="15">
        <v>3.1</v>
      </c>
      <c r="M156" s="15" t="s">
        <v>283</v>
      </c>
      <c r="N156" s="15" t="s">
        <v>438</v>
      </c>
      <c r="O156" s="15">
        <v>0.5</v>
      </c>
      <c r="P156" s="9">
        <v>25</v>
      </c>
      <c r="Q156" s="1">
        <v>1</v>
      </c>
      <c r="R156" s="10">
        <v>85</v>
      </c>
      <c r="S156" s="15" t="s">
        <v>284</v>
      </c>
    </row>
    <row r="157" spans="1:19">
      <c r="A157" s="26" t="s">
        <v>165</v>
      </c>
      <c r="B157" s="15" t="s">
        <v>370</v>
      </c>
      <c r="C157" s="15">
        <v>1.1000000000000001</v>
      </c>
      <c r="D157" s="10" t="s">
        <v>288</v>
      </c>
      <c r="E157" s="10" t="s">
        <v>509</v>
      </c>
      <c r="F157" s="10">
        <v>1</v>
      </c>
      <c r="G157" s="15" t="s">
        <v>281</v>
      </c>
      <c r="H157" s="15" t="s">
        <v>395</v>
      </c>
      <c r="I157" s="15">
        <v>1.1000000000000001</v>
      </c>
      <c r="J157" s="10" t="s">
        <v>282</v>
      </c>
      <c r="K157" s="15" t="s">
        <v>385</v>
      </c>
      <c r="L157" s="15">
        <v>3.1</v>
      </c>
      <c r="M157" s="15" t="s">
        <v>283</v>
      </c>
      <c r="N157" s="15" t="s">
        <v>438</v>
      </c>
      <c r="O157" s="15">
        <v>0.5</v>
      </c>
      <c r="P157" s="9">
        <v>25</v>
      </c>
      <c r="Q157" s="1">
        <v>2</v>
      </c>
      <c r="R157" s="10">
        <v>93</v>
      </c>
      <c r="S157" s="15" t="s">
        <v>284</v>
      </c>
    </row>
    <row r="158" spans="1:19">
      <c r="A158" s="10" t="s">
        <v>289</v>
      </c>
      <c r="B158" s="33" t="s">
        <v>535</v>
      </c>
      <c r="C158" s="15">
        <v>1.1000000000000001</v>
      </c>
      <c r="D158" s="10" t="s">
        <v>280</v>
      </c>
      <c r="E158" s="10" t="s">
        <v>505</v>
      </c>
      <c r="F158" s="10">
        <v>1</v>
      </c>
      <c r="G158" s="15" t="s">
        <v>281</v>
      </c>
      <c r="H158" s="15" t="s">
        <v>395</v>
      </c>
      <c r="I158" s="15">
        <v>1.1000000000000001</v>
      </c>
      <c r="J158" s="10" t="s">
        <v>282</v>
      </c>
      <c r="K158" s="15" t="s">
        <v>385</v>
      </c>
      <c r="L158" s="15">
        <v>3.1</v>
      </c>
      <c r="M158" s="15" t="s">
        <v>283</v>
      </c>
      <c r="N158" s="15" t="s">
        <v>438</v>
      </c>
      <c r="O158" s="15">
        <v>0.5</v>
      </c>
      <c r="P158" s="9">
        <v>25</v>
      </c>
      <c r="Q158" s="1">
        <v>4</v>
      </c>
      <c r="R158" s="10">
        <v>86</v>
      </c>
      <c r="S158" s="15" t="s">
        <v>284</v>
      </c>
    </row>
    <row r="159" spans="1:19">
      <c r="A159" s="10" t="s">
        <v>290</v>
      </c>
      <c r="B159" s="33" t="s">
        <v>536</v>
      </c>
      <c r="C159" s="15">
        <v>1.1000000000000001</v>
      </c>
      <c r="D159" s="10" t="s">
        <v>286</v>
      </c>
      <c r="E159" s="10" t="s">
        <v>507</v>
      </c>
      <c r="F159" s="10">
        <v>1</v>
      </c>
      <c r="G159" s="15" t="s">
        <v>281</v>
      </c>
      <c r="H159" s="15" t="s">
        <v>395</v>
      </c>
      <c r="I159" s="15">
        <v>1.1000000000000001</v>
      </c>
      <c r="J159" s="10" t="s">
        <v>282</v>
      </c>
      <c r="K159" s="15" t="s">
        <v>385</v>
      </c>
      <c r="L159" s="15">
        <v>3.1</v>
      </c>
      <c r="M159" s="15" t="s">
        <v>283</v>
      </c>
      <c r="N159" s="15" t="s">
        <v>438</v>
      </c>
      <c r="O159" s="15">
        <v>0.5</v>
      </c>
      <c r="P159" s="9">
        <v>25</v>
      </c>
      <c r="Q159" s="1">
        <v>2</v>
      </c>
      <c r="R159" s="10">
        <v>95</v>
      </c>
      <c r="S159" s="15" t="s">
        <v>284</v>
      </c>
    </row>
    <row r="160" spans="1:19">
      <c r="A160" s="10" t="s">
        <v>254</v>
      </c>
      <c r="B160" s="33" t="s">
        <v>523</v>
      </c>
      <c r="C160" s="15">
        <v>1.1000000000000001</v>
      </c>
      <c r="D160" s="10" t="s">
        <v>291</v>
      </c>
      <c r="E160" s="10" t="s">
        <v>510</v>
      </c>
      <c r="F160" s="10">
        <v>1</v>
      </c>
      <c r="G160" s="15" t="s">
        <v>281</v>
      </c>
      <c r="H160" s="15" t="s">
        <v>395</v>
      </c>
      <c r="I160" s="15">
        <v>1.1000000000000001</v>
      </c>
      <c r="J160" s="10" t="s">
        <v>282</v>
      </c>
      <c r="K160" s="15" t="s">
        <v>385</v>
      </c>
      <c r="L160" s="15">
        <v>3.1</v>
      </c>
      <c r="M160" s="15" t="s">
        <v>283</v>
      </c>
      <c r="N160" s="15" t="s">
        <v>438</v>
      </c>
      <c r="O160" s="15">
        <v>0.5</v>
      </c>
      <c r="P160" s="9">
        <v>25</v>
      </c>
      <c r="Q160" s="1">
        <v>2</v>
      </c>
      <c r="R160" s="10">
        <v>95</v>
      </c>
      <c r="S160" s="15" t="s">
        <v>284</v>
      </c>
    </row>
    <row r="161" spans="1:19">
      <c r="A161" s="26" t="s">
        <v>165</v>
      </c>
      <c r="B161" s="15" t="s">
        <v>370</v>
      </c>
      <c r="C161" s="15">
        <v>1.1000000000000001</v>
      </c>
      <c r="D161" s="10" t="s">
        <v>292</v>
      </c>
      <c r="E161" s="10" t="s">
        <v>511</v>
      </c>
      <c r="F161" s="10">
        <v>1</v>
      </c>
      <c r="G161" s="15" t="s">
        <v>281</v>
      </c>
      <c r="H161" s="15" t="s">
        <v>395</v>
      </c>
      <c r="I161" s="15">
        <v>1.1000000000000001</v>
      </c>
      <c r="J161" s="10" t="s">
        <v>282</v>
      </c>
      <c r="K161" s="15" t="s">
        <v>385</v>
      </c>
      <c r="L161" s="15">
        <v>3.1</v>
      </c>
      <c r="M161" s="15" t="s">
        <v>283</v>
      </c>
      <c r="N161" s="15" t="s">
        <v>438</v>
      </c>
      <c r="O161" s="15">
        <v>0.5</v>
      </c>
      <c r="P161" s="9">
        <v>25</v>
      </c>
      <c r="Q161" s="1">
        <v>4</v>
      </c>
      <c r="R161" s="10">
        <v>99</v>
      </c>
      <c r="S161" s="15" t="s">
        <v>284</v>
      </c>
    </row>
    <row r="162" spans="1:19">
      <c r="A162" s="10" t="s">
        <v>293</v>
      </c>
      <c r="B162" s="33" t="s">
        <v>537</v>
      </c>
      <c r="C162" s="15">
        <v>1.1000000000000001</v>
      </c>
      <c r="D162" s="10" t="s">
        <v>294</v>
      </c>
      <c r="E162" s="10" t="s">
        <v>512</v>
      </c>
      <c r="F162" s="10">
        <v>1</v>
      </c>
      <c r="G162" s="15" t="s">
        <v>281</v>
      </c>
      <c r="H162" s="15" t="s">
        <v>395</v>
      </c>
      <c r="I162" s="15">
        <v>1.1000000000000001</v>
      </c>
      <c r="J162" s="10" t="s">
        <v>282</v>
      </c>
      <c r="K162" s="15" t="s">
        <v>385</v>
      </c>
      <c r="L162" s="15">
        <v>31</v>
      </c>
      <c r="M162" s="15" t="s">
        <v>283</v>
      </c>
      <c r="N162" s="15" t="s">
        <v>438</v>
      </c>
      <c r="O162" s="15">
        <v>0.5</v>
      </c>
      <c r="P162" s="9">
        <v>25</v>
      </c>
      <c r="Q162" s="1">
        <v>2</v>
      </c>
      <c r="R162" s="10">
        <v>92</v>
      </c>
      <c r="S162" s="15" t="s">
        <v>284</v>
      </c>
    </row>
    <row r="163" spans="1:19">
      <c r="A163" s="10" t="s">
        <v>295</v>
      </c>
      <c r="B163" s="33" t="s">
        <v>538</v>
      </c>
      <c r="C163" s="15">
        <v>1.1000000000000001</v>
      </c>
      <c r="D163" s="10" t="s">
        <v>291</v>
      </c>
      <c r="E163" s="10" t="s">
        <v>510</v>
      </c>
      <c r="F163" s="10">
        <v>1</v>
      </c>
      <c r="G163" s="15" t="s">
        <v>281</v>
      </c>
      <c r="H163" s="15" t="s">
        <v>395</v>
      </c>
      <c r="I163" s="15">
        <v>1.1000000000000001</v>
      </c>
      <c r="J163" s="10" t="s">
        <v>282</v>
      </c>
      <c r="K163" s="15" t="s">
        <v>385</v>
      </c>
      <c r="L163" s="15">
        <v>3.1</v>
      </c>
      <c r="M163" s="15" t="s">
        <v>283</v>
      </c>
      <c r="N163" s="15" t="s">
        <v>438</v>
      </c>
      <c r="O163" s="15">
        <v>0.5</v>
      </c>
      <c r="P163" s="9">
        <v>25</v>
      </c>
      <c r="Q163" s="1">
        <v>0.5</v>
      </c>
      <c r="R163" s="10">
        <v>96</v>
      </c>
      <c r="S163" s="15" t="s">
        <v>284</v>
      </c>
    </row>
    <row r="164" spans="1:19">
      <c r="A164" s="10" t="s">
        <v>231</v>
      </c>
      <c r="B164" s="15" t="s">
        <v>488</v>
      </c>
      <c r="C164" s="15">
        <v>1</v>
      </c>
      <c r="D164" s="10" t="s">
        <v>279</v>
      </c>
      <c r="E164" s="10" t="s">
        <v>479</v>
      </c>
      <c r="F164" s="10">
        <v>1</v>
      </c>
      <c r="G164" s="15" t="s">
        <v>296</v>
      </c>
      <c r="H164" s="14" t="s">
        <v>394</v>
      </c>
      <c r="I164" s="15">
        <v>1.2</v>
      </c>
      <c r="J164" s="10" t="s">
        <v>121</v>
      </c>
      <c r="K164" s="15" t="s">
        <v>121</v>
      </c>
      <c r="L164" s="15">
        <v>0</v>
      </c>
      <c r="M164" s="15" t="s">
        <v>121</v>
      </c>
      <c r="N164" s="15" t="s">
        <v>121</v>
      </c>
      <c r="O164" s="15">
        <v>0</v>
      </c>
      <c r="P164" s="9">
        <v>25</v>
      </c>
      <c r="Q164" s="1">
        <v>0.03</v>
      </c>
      <c r="R164" s="10">
        <v>86</v>
      </c>
      <c r="S164" s="15" t="s">
        <v>297</v>
      </c>
    </row>
    <row r="165" spans="1:19">
      <c r="A165" s="10" t="s">
        <v>231</v>
      </c>
      <c r="B165" s="15" t="s">
        <v>488</v>
      </c>
      <c r="C165" s="15">
        <v>1</v>
      </c>
      <c r="D165" s="10" t="s">
        <v>279</v>
      </c>
      <c r="E165" s="10" t="s">
        <v>479</v>
      </c>
      <c r="F165" s="10">
        <v>1</v>
      </c>
      <c r="G165" s="15" t="s">
        <v>296</v>
      </c>
      <c r="H165" s="14" t="s">
        <v>394</v>
      </c>
      <c r="I165" s="15">
        <v>1.2</v>
      </c>
      <c r="J165" s="10" t="s">
        <v>121</v>
      </c>
      <c r="K165" s="15" t="s">
        <v>121</v>
      </c>
      <c r="L165" s="15">
        <v>0</v>
      </c>
      <c r="M165" s="15" t="s">
        <v>16</v>
      </c>
      <c r="N165" s="58" t="s">
        <v>562</v>
      </c>
      <c r="O165" s="15">
        <v>0.5</v>
      </c>
      <c r="P165" s="9">
        <v>25</v>
      </c>
      <c r="Q165" s="1">
        <v>16</v>
      </c>
      <c r="R165" s="10">
        <v>79</v>
      </c>
      <c r="S165" s="15" t="s">
        <v>297</v>
      </c>
    </row>
    <row r="166" spans="1:19">
      <c r="A166" s="10" t="s">
        <v>298</v>
      </c>
      <c r="B166" s="33" t="s">
        <v>539</v>
      </c>
      <c r="C166" s="15">
        <v>1</v>
      </c>
      <c r="D166" s="10" t="s">
        <v>247</v>
      </c>
      <c r="E166" s="10" t="s">
        <v>466</v>
      </c>
      <c r="F166" s="10">
        <v>1</v>
      </c>
      <c r="G166" s="15" t="s">
        <v>296</v>
      </c>
      <c r="H166" s="14" t="s">
        <v>394</v>
      </c>
      <c r="I166" s="15">
        <v>1.2</v>
      </c>
      <c r="J166" s="10" t="s">
        <v>121</v>
      </c>
      <c r="K166" s="15" t="s">
        <v>121</v>
      </c>
      <c r="L166" s="15">
        <v>0</v>
      </c>
      <c r="M166" s="15" t="s">
        <v>121</v>
      </c>
      <c r="N166" s="15" t="s">
        <v>121</v>
      </c>
      <c r="O166" s="15">
        <v>0</v>
      </c>
      <c r="P166" s="9">
        <v>25</v>
      </c>
      <c r="Q166" s="1">
        <v>0.03</v>
      </c>
      <c r="R166" s="10">
        <v>82</v>
      </c>
      <c r="S166" s="15" t="s">
        <v>297</v>
      </c>
    </row>
    <row r="167" spans="1:19">
      <c r="A167" s="10" t="s">
        <v>293</v>
      </c>
      <c r="B167" s="33" t="s">
        <v>537</v>
      </c>
      <c r="C167" s="15">
        <v>1</v>
      </c>
      <c r="D167" s="10" t="s">
        <v>299</v>
      </c>
      <c r="E167" s="10" t="s">
        <v>457</v>
      </c>
      <c r="F167" s="10">
        <v>1</v>
      </c>
      <c r="G167" s="15" t="s">
        <v>296</v>
      </c>
      <c r="H167" s="14" t="s">
        <v>394</v>
      </c>
      <c r="I167" s="15">
        <v>1.2</v>
      </c>
      <c r="J167" s="10" t="s">
        <v>121</v>
      </c>
      <c r="K167" s="15" t="s">
        <v>121</v>
      </c>
      <c r="L167" s="15">
        <v>0</v>
      </c>
      <c r="M167" s="15" t="s">
        <v>121</v>
      </c>
      <c r="N167" s="15" t="s">
        <v>121</v>
      </c>
      <c r="O167" s="15">
        <v>0</v>
      </c>
      <c r="P167" s="9">
        <v>25</v>
      </c>
      <c r="Q167" s="1">
        <v>0.03</v>
      </c>
      <c r="R167" s="10">
        <v>94</v>
      </c>
      <c r="S167" s="15" t="s">
        <v>297</v>
      </c>
    </row>
    <row r="168" spans="1:19">
      <c r="A168" s="10" t="s">
        <v>231</v>
      </c>
      <c r="B168" s="15" t="s">
        <v>488</v>
      </c>
      <c r="C168" s="15">
        <v>1</v>
      </c>
      <c r="D168" s="10" t="s">
        <v>300</v>
      </c>
      <c r="E168" s="10" t="s">
        <v>513</v>
      </c>
      <c r="F168" s="10">
        <v>1</v>
      </c>
      <c r="G168" s="15" t="s">
        <v>296</v>
      </c>
      <c r="H168" s="14" t="s">
        <v>394</v>
      </c>
      <c r="I168" s="15">
        <v>1.2</v>
      </c>
      <c r="J168" s="10" t="s">
        <v>121</v>
      </c>
      <c r="K168" s="15" t="s">
        <v>121</v>
      </c>
      <c r="L168" s="15">
        <v>0</v>
      </c>
      <c r="M168" s="15" t="s">
        <v>121</v>
      </c>
      <c r="N168" s="15" t="s">
        <v>121</v>
      </c>
      <c r="O168" s="15">
        <v>0</v>
      </c>
      <c r="P168" s="9">
        <v>25</v>
      </c>
      <c r="Q168" s="1">
        <v>0.03</v>
      </c>
      <c r="R168" s="10">
        <v>82</v>
      </c>
      <c r="S168" s="15" t="s">
        <v>297</v>
      </c>
    </row>
    <row r="169" spans="1:19">
      <c r="A169" s="26" t="s">
        <v>165</v>
      </c>
      <c r="B169" s="15" t="s">
        <v>370</v>
      </c>
      <c r="C169" s="15">
        <v>1</v>
      </c>
      <c r="D169" s="10" t="s">
        <v>299</v>
      </c>
      <c r="E169" s="10" t="s">
        <v>457</v>
      </c>
      <c r="F169" s="10">
        <v>1</v>
      </c>
      <c r="G169" s="15" t="s">
        <v>301</v>
      </c>
      <c r="H169" s="15" t="s">
        <v>420</v>
      </c>
      <c r="I169" s="15">
        <v>2</v>
      </c>
      <c r="J169" s="10" t="s">
        <v>121</v>
      </c>
      <c r="K169" s="15" t="s">
        <v>121</v>
      </c>
      <c r="L169" s="15">
        <v>0</v>
      </c>
      <c r="M169" s="15" t="s">
        <v>121</v>
      </c>
      <c r="N169" s="15" t="s">
        <v>121</v>
      </c>
      <c r="O169" s="15">
        <v>0</v>
      </c>
      <c r="P169" s="9">
        <v>80</v>
      </c>
      <c r="Q169" s="1">
        <v>16</v>
      </c>
      <c r="R169" s="10">
        <v>91</v>
      </c>
      <c r="S169" s="15" t="s">
        <v>302</v>
      </c>
    </row>
    <row r="170" spans="1:19">
      <c r="A170" s="26" t="s">
        <v>165</v>
      </c>
      <c r="B170" s="15" t="s">
        <v>370</v>
      </c>
      <c r="C170" s="15">
        <v>1</v>
      </c>
      <c r="D170" s="10" t="s">
        <v>303</v>
      </c>
      <c r="E170" s="10" t="s">
        <v>514</v>
      </c>
      <c r="F170" s="10">
        <v>1</v>
      </c>
      <c r="G170" s="15" t="s">
        <v>301</v>
      </c>
      <c r="H170" s="15" t="s">
        <v>420</v>
      </c>
      <c r="I170" s="15">
        <v>2</v>
      </c>
      <c r="J170" s="10" t="s">
        <v>121</v>
      </c>
      <c r="K170" s="15" t="s">
        <v>121</v>
      </c>
      <c r="L170" s="15">
        <v>0</v>
      </c>
      <c r="M170" s="15" t="s">
        <v>121</v>
      </c>
      <c r="N170" s="15" t="s">
        <v>121</v>
      </c>
      <c r="O170" s="15">
        <v>0</v>
      </c>
      <c r="P170" s="9">
        <v>80</v>
      </c>
      <c r="Q170" s="1">
        <v>16</v>
      </c>
      <c r="R170" s="10">
        <v>70</v>
      </c>
      <c r="S170" s="15" t="s">
        <v>302</v>
      </c>
    </row>
    <row r="171" spans="1:19">
      <c r="A171" s="26" t="s">
        <v>165</v>
      </c>
      <c r="B171" s="15" t="s">
        <v>370</v>
      </c>
      <c r="C171" s="15">
        <v>1</v>
      </c>
      <c r="D171" s="10" t="s">
        <v>304</v>
      </c>
      <c r="E171" s="10" t="s">
        <v>506</v>
      </c>
      <c r="F171" s="10">
        <v>1</v>
      </c>
      <c r="G171" s="15" t="s">
        <v>301</v>
      </c>
      <c r="H171" s="15" t="s">
        <v>420</v>
      </c>
      <c r="I171" s="15">
        <v>2</v>
      </c>
      <c r="J171" s="10" t="s">
        <v>24</v>
      </c>
      <c r="K171" s="14" t="s">
        <v>380</v>
      </c>
      <c r="L171" s="15">
        <v>2</v>
      </c>
      <c r="M171" s="15" t="s">
        <v>121</v>
      </c>
      <c r="N171" s="15" t="s">
        <v>121</v>
      </c>
      <c r="O171" s="15">
        <v>0</v>
      </c>
      <c r="P171" s="9">
        <v>80</v>
      </c>
      <c r="Q171" s="1">
        <v>15</v>
      </c>
      <c r="R171" s="10">
        <v>82</v>
      </c>
      <c r="S171" s="15" t="s">
        <v>302</v>
      </c>
    </row>
    <row r="172" spans="1:19">
      <c r="A172" s="10" t="s">
        <v>266</v>
      </c>
      <c r="B172" s="33" t="s">
        <v>530</v>
      </c>
      <c r="C172" s="15">
        <v>1.1000000000000001</v>
      </c>
      <c r="D172" s="10" t="s">
        <v>299</v>
      </c>
      <c r="E172" s="10" t="s">
        <v>457</v>
      </c>
      <c r="F172" s="10">
        <v>1</v>
      </c>
      <c r="G172" s="15" t="s">
        <v>305</v>
      </c>
      <c r="H172" s="15" t="s">
        <v>421</v>
      </c>
      <c r="I172" s="15">
        <v>0.05</v>
      </c>
      <c r="J172" s="10" t="s">
        <v>121</v>
      </c>
      <c r="K172" s="15" t="s">
        <v>121</v>
      </c>
      <c r="L172" s="15">
        <v>0</v>
      </c>
      <c r="M172" s="15" t="s">
        <v>121</v>
      </c>
      <c r="N172" s="15" t="s">
        <v>121</v>
      </c>
      <c r="O172" s="15">
        <v>0</v>
      </c>
      <c r="P172" s="9">
        <v>140</v>
      </c>
      <c r="Q172" s="1">
        <v>12</v>
      </c>
      <c r="R172" s="10">
        <v>80</v>
      </c>
      <c r="S172" s="15" t="s">
        <v>306</v>
      </c>
    </row>
    <row r="173" spans="1:19">
      <c r="A173" s="10" t="s">
        <v>201</v>
      </c>
      <c r="B173" s="15" t="s">
        <v>369</v>
      </c>
      <c r="C173" s="15">
        <v>1.1000000000000001</v>
      </c>
      <c r="D173" s="10" t="s">
        <v>307</v>
      </c>
      <c r="E173" s="10" t="s">
        <v>492</v>
      </c>
      <c r="F173" s="10">
        <v>1</v>
      </c>
      <c r="G173" s="15" t="s">
        <v>305</v>
      </c>
      <c r="H173" s="15" t="s">
        <v>421</v>
      </c>
      <c r="I173" s="15">
        <v>0.5</v>
      </c>
      <c r="J173" s="10" t="s">
        <v>121</v>
      </c>
      <c r="K173" s="15" t="s">
        <v>121</v>
      </c>
      <c r="L173" s="15">
        <v>0</v>
      </c>
      <c r="M173" s="15" t="s">
        <v>121</v>
      </c>
      <c r="N173" s="15" t="s">
        <v>121</v>
      </c>
      <c r="O173" s="15">
        <v>0</v>
      </c>
      <c r="P173" s="9">
        <v>140</v>
      </c>
      <c r="Q173" s="1">
        <v>12</v>
      </c>
      <c r="R173" s="10">
        <v>79</v>
      </c>
      <c r="S173" s="15" t="s">
        <v>306</v>
      </c>
    </row>
    <row r="174" spans="1:19">
      <c r="A174" s="26" t="s">
        <v>310</v>
      </c>
      <c r="B174" s="33" t="s">
        <v>540</v>
      </c>
      <c r="C174" s="17">
        <v>1</v>
      </c>
      <c r="D174" s="26" t="s">
        <v>309</v>
      </c>
      <c r="E174" s="26" t="s">
        <v>515</v>
      </c>
      <c r="F174" s="26">
        <v>2</v>
      </c>
      <c r="G174" s="17" t="s">
        <v>102</v>
      </c>
      <c r="H174" s="15" t="s">
        <v>399</v>
      </c>
      <c r="I174" s="17">
        <v>1.1000000000000001</v>
      </c>
      <c r="J174" s="26" t="s">
        <v>121</v>
      </c>
      <c r="K174" s="17" t="s">
        <v>121</v>
      </c>
      <c r="L174" s="17">
        <v>0</v>
      </c>
      <c r="M174" s="17" t="s">
        <v>22</v>
      </c>
      <c r="N174" s="58" t="s">
        <v>563</v>
      </c>
      <c r="O174" s="17">
        <v>0.5</v>
      </c>
      <c r="P174" s="11">
        <v>22</v>
      </c>
      <c r="Q174" s="50">
        <v>144</v>
      </c>
      <c r="R174" s="26">
        <v>10</v>
      </c>
      <c r="S174" s="17" t="s">
        <v>308</v>
      </c>
    </row>
    <row r="175" spans="1:19">
      <c r="A175" s="26" t="s">
        <v>312</v>
      </c>
      <c r="B175" s="99" t="s">
        <v>541</v>
      </c>
      <c r="C175" s="17">
        <v>1</v>
      </c>
      <c r="D175" s="26" t="s">
        <v>171</v>
      </c>
      <c r="E175" s="26" t="s">
        <v>466</v>
      </c>
      <c r="F175" s="26">
        <v>1.2</v>
      </c>
      <c r="G175" s="17" t="s">
        <v>38</v>
      </c>
      <c r="H175" s="17" t="s">
        <v>398</v>
      </c>
      <c r="I175" s="17">
        <v>1.2</v>
      </c>
      <c r="J175" s="26" t="s">
        <v>27</v>
      </c>
      <c r="K175" s="16" t="s">
        <v>379</v>
      </c>
      <c r="L175" s="17">
        <v>2</v>
      </c>
      <c r="M175" s="17" t="s">
        <v>16</v>
      </c>
      <c r="N175" s="16" t="s">
        <v>562</v>
      </c>
      <c r="O175" s="17">
        <v>0.25</v>
      </c>
      <c r="P175" s="11">
        <v>25</v>
      </c>
      <c r="Q175" s="50">
        <v>24</v>
      </c>
      <c r="R175" s="26">
        <v>20</v>
      </c>
      <c r="S175" s="17" t="s">
        <v>311</v>
      </c>
    </row>
    <row r="176" spans="1:19">
      <c r="A176" s="26" t="s">
        <v>313</v>
      </c>
      <c r="B176" s="95" t="s">
        <v>542</v>
      </c>
      <c r="C176" s="17">
        <v>1</v>
      </c>
      <c r="D176" s="26" t="s">
        <v>314</v>
      </c>
      <c r="E176" s="26" t="s">
        <v>485</v>
      </c>
      <c r="F176" s="26">
        <v>1</v>
      </c>
      <c r="G176" s="17" t="s">
        <v>296</v>
      </c>
      <c r="H176" s="16" t="s">
        <v>394</v>
      </c>
      <c r="I176" s="17">
        <v>1.5</v>
      </c>
      <c r="J176" s="26" t="s">
        <v>121</v>
      </c>
      <c r="K176" s="17" t="s">
        <v>121</v>
      </c>
      <c r="L176" s="17">
        <v>0</v>
      </c>
      <c r="M176" s="17" t="s">
        <v>40</v>
      </c>
      <c r="N176" s="16" t="s">
        <v>423</v>
      </c>
      <c r="O176" s="17">
        <v>0.5</v>
      </c>
      <c r="P176" s="11">
        <v>25</v>
      </c>
      <c r="Q176" s="50">
        <v>12</v>
      </c>
      <c r="R176" s="26">
        <v>24</v>
      </c>
      <c r="S176" s="17" t="s">
        <v>315</v>
      </c>
    </row>
    <row r="177" spans="1:19">
      <c r="A177" s="26" t="s">
        <v>319</v>
      </c>
      <c r="B177" s="15" t="s">
        <v>454</v>
      </c>
      <c r="C177" s="17">
        <v>1</v>
      </c>
      <c r="D177" s="26" t="s">
        <v>318</v>
      </c>
      <c r="E177" s="26" t="s">
        <v>485</v>
      </c>
      <c r="F177" s="26">
        <v>0.7</v>
      </c>
      <c r="G177" s="17" t="s">
        <v>77</v>
      </c>
      <c r="H177" s="16" t="s">
        <v>391</v>
      </c>
      <c r="I177" s="17">
        <v>1</v>
      </c>
      <c r="J177" s="26" t="s">
        <v>24</v>
      </c>
      <c r="K177" s="16" t="s">
        <v>380</v>
      </c>
      <c r="L177" s="17">
        <v>1</v>
      </c>
      <c r="M177" s="17" t="s">
        <v>317</v>
      </c>
      <c r="N177" s="17" t="s">
        <v>424</v>
      </c>
      <c r="O177" s="17">
        <v>0.3</v>
      </c>
      <c r="P177" s="11">
        <v>90</v>
      </c>
      <c r="Q177" s="50">
        <v>12</v>
      </c>
      <c r="R177" s="26">
        <v>34</v>
      </c>
      <c r="S177" s="17" t="s">
        <v>316</v>
      </c>
    </row>
    <row r="178" spans="1:19">
      <c r="A178" s="26" t="s">
        <v>323</v>
      </c>
      <c r="B178" s="33" t="s">
        <v>543</v>
      </c>
      <c r="C178" s="17">
        <v>1</v>
      </c>
      <c r="D178" s="26" t="s">
        <v>322</v>
      </c>
      <c r="E178" s="26" t="s">
        <v>484</v>
      </c>
      <c r="F178" s="26">
        <v>3</v>
      </c>
      <c r="G178" s="17" t="s">
        <v>321</v>
      </c>
      <c r="H178" s="16" t="s">
        <v>394</v>
      </c>
      <c r="I178" s="17">
        <v>1.7</v>
      </c>
      <c r="J178" s="26" t="s">
        <v>24</v>
      </c>
      <c r="K178" s="16" t="s">
        <v>380</v>
      </c>
      <c r="L178" s="17">
        <v>4</v>
      </c>
      <c r="M178" s="17" t="s">
        <v>16</v>
      </c>
      <c r="N178" s="58" t="s">
        <v>562</v>
      </c>
      <c r="O178" s="17">
        <v>0.1</v>
      </c>
      <c r="P178" s="11">
        <v>25</v>
      </c>
      <c r="Q178" s="50">
        <v>12</v>
      </c>
      <c r="R178" s="26">
        <v>40</v>
      </c>
      <c r="S178" s="17" t="s">
        <v>320</v>
      </c>
    </row>
    <row r="179" spans="1:19">
      <c r="A179" s="26" t="s">
        <v>325</v>
      </c>
      <c r="B179" s="33" t="s">
        <v>544</v>
      </c>
      <c r="C179" s="17">
        <v>1</v>
      </c>
      <c r="D179" s="26" t="s">
        <v>324</v>
      </c>
      <c r="E179" s="26" t="s">
        <v>483</v>
      </c>
      <c r="F179" s="26">
        <v>1.2</v>
      </c>
      <c r="G179" s="17" t="s">
        <v>59</v>
      </c>
      <c r="H179" s="16" t="s">
        <v>390</v>
      </c>
      <c r="I179" s="17">
        <v>1.2</v>
      </c>
      <c r="J179" s="44" t="s">
        <v>196</v>
      </c>
      <c r="K179" s="16" t="s">
        <v>381</v>
      </c>
      <c r="L179" s="17">
        <v>1.2</v>
      </c>
      <c r="M179" s="17" t="s">
        <v>16</v>
      </c>
      <c r="N179" s="58" t="s">
        <v>562</v>
      </c>
      <c r="O179" s="17">
        <v>0.5</v>
      </c>
      <c r="P179" s="11">
        <v>21</v>
      </c>
      <c r="Q179" s="50">
        <v>16</v>
      </c>
      <c r="R179" s="26">
        <v>45</v>
      </c>
      <c r="S179" s="17" t="s">
        <v>33</v>
      </c>
    </row>
    <row r="180" spans="1:19">
      <c r="A180" s="26" t="s">
        <v>329</v>
      </c>
      <c r="B180" s="15" t="s">
        <v>370</v>
      </c>
      <c r="C180" s="17">
        <v>1</v>
      </c>
      <c r="D180" s="26" t="s">
        <v>328</v>
      </c>
      <c r="E180" s="44" t="s">
        <v>457</v>
      </c>
      <c r="F180" s="26">
        <v>1</v>
      </c>
      <c r="G180" s="17" t="s">
        <v>327</v>
      </c>
      <c r="H180" s="17" t="s">
        <v>422</v>
      </c>
      <c r="I180" s="17">
        <v>1</v>
      </c>
      <c r="J180" s="26" t="s">
        <v>24</v>
      </c>
      <c r="K180" s="16" t="s">
        <v>380</v>
      </c>
      <c r="L180" s="17">
        <v>2.2000000000000002</v>
      </c>
      <c r="M180" s="17" t="s">
        <v>40</v>
      </c>
      <c r="N180" s="16" t="s">
        <v>423</v>
      </c>
      <c r="O180" s="17">
        <v>2</v>
      </c>
      <c r="P180" s="11">
        <v>25</v>
      </c>
      <c r="Q180" s="50">
        <v>3</v>
      </c>
      <c r="R180" s="26">
        <v>48</v>
      </c>
      <c r="S180" s="17" t="s">
        <v>326</v>
      </c>
    </row>
    <row r="181" spans="1:19">
      <c r="A181" s="26" t="s">
        <v>333</v>
      </c>
      <c r="B181" s="33" t="s">
        <v>545</v>
      </c>
      <c r="C181" s="17">
        <v>1</v>
      </c>
      <c r="D181" s="26" t="s">
        <v>332</v>
      </c>
      <c r="E181" s="26" t="s">
        <v>481</v>
      </c>
      <c r="F181" s="26">
        <v>1.1000000000000001</v>
      </c>
      <c r="G181" s="17" t="s">
        <v>59</v>
      </c>
      <c r="H181" s="16" t="s">
        <v>390</v>
      </c>
      <c r="I181" s="17">
        <v>1.1000000000000001</v>
      </c>
      <c r="J181" s="26" t="s">
        <v>331</v>
      </c>
      <c r="K181" s="17" t="s">
        <v>383</v>
      </c>
      <c r="L181" s="17">
        <v>1.6</v>
      </c>
      <c r="M181" s="17" t="s">
        <v>22</v>
      </c>
      <c r="N181" s="58" t="s">
        <v>563</v>
      </c>
      <c r="O181" s="17">
        <v>0.25</v>
      </c>
      <c r="P181" s="11">
        <v>25</v>
      </c>
      <c r="Q181" s="50">
        <v>48</v>
      </c>
      <c r="R181" s="26">
        <v>48</v>
      </c>
      <c r="S181" s="17" t="s">
        <v>330</v>
      </c>
    </row>
    <row r="182" spans="1:19">
      <c r="A182" s="26" t="s">
        <v>336</v>
      </c>
      <c r="B182" s="33" t="s">
        <v>546</v>
      </c>
      <c r="C182" s="17">
        <v>1</v>
      </c>
      <c r="D182" s="26" t="s">
        <v>335</v>
      </c>
      <c r="E182" s="26" t="s">
        <v>480</v>
      </c>
      <c r="F182" s="26">
        <v>1</v>
      </c>
      <c r="G182" s="17" t="s">
        <v>59</v>
      </c>
      <c r="H182" s="16" t="s">
        <v>390</v>
      </c>
      <c r="I182" s="17">
        <v>2</v>
      </c>
      <c r="J182" s="26" t="s">
        <v>121</v>
      </c>
      <c r="K182" s="17" t="s">
        <v>121</v>
      </c>
      <c r="L182" s="17">
        <v>0</v>
      </c>
      <c r="M182" s="17" t="s">
        <v>40</v>
      </c>
      <c r="N182" s="16" t="s">
        <v>423</v>
      </c>
      <c r="O182" s="17">
        <v>0.5</v>
      </c>
      <c r="P182" s="26">
        <v>25</v>
      </c>
      <c r="Q182" s="17">
        <v>16</v>
      </c>
      <c r="R182" s="26">
        <v>49</v>
      </c>
      <c r="S182" s="17" t="s">
        <v>334</v>
      </c>
    </row>
    <row r="183" spans="1:19">
      <c r="A183" s="26" t="s">
        <v>312</v>
      </c>
      <c r="B183" s="33" t="s">
        <v>541</v>
      </c>
      <c r="C183" s="17">
        <v>1</v>
      </c>
      <c r="D183" s="26" t="s">
        <v>27</v>
      </c>
      <c r="E183" s="20" t="s">
        <v>379</v>
      </c>
      <c r="F183" s="26">
        <v>1.2</v>
      </c>
      <c r="G183" s="17" t="s">
        <v>38</v>
      </c>
      <c r="H183" s="17" t="s">
        <v>398</v>
      </c>
      <c r="I183" s="17">
        <v>1.2</v>
      </c>
      <c r="J183" s="26" t="s">
        <v>27</v>
      </c>
      <c r="K183" s="16" t="s">
        <v>379</v>
      </c>
      <c r="L183" s="17">
        <v>2</v>
      </c>
      <c r="M183" s="17" t="s">
        <v>16</v>
      </c>
      <c r="N183" s="58" t="s">
        <v>562</v>
      </c>
      <c r="O183" s="17">
        <v>0.25</v>
      </c>
      <c r="P183" s="26">
        <v>25</v>
      </c>
      <c r="Q183" s="17">
        <v>24</v>
      </c>
      <c r="R183" s="26">
        <v>50</v>
      </c>
      <c r="S183" s="17" t="s">
        <v>337</v>
      </c>
    </row>
    <row r="184" spans="1:19">
      <c r="A184" s="21" t="s">
        <v>338</v>
      </c>
      <c r="B184" s="33" t="s">
        <v>547</v>
      </c>
      <c r="C184" s="29">
        <v>2</v>
      </c>
      <c r="D184" s="21" t="s">
        <v>324</v>
      </c>
      <c r="E184" s="26" t="s">
        <v>483</v>
      </c>
      <c r="F184" s="21">
        <v>1.2</v>
      </c>
      <c r="G184" s="29" t="s">
        <v>59</v>
      </c>
      <c r="H184" s="16" t="s">
        <v>390</v>
      </c>
      <c r="I184" s="29">
        <v>1.2</v>
      </c>
      <c r="J184" s="44" t="s">
        <v>196</v>
      </c>
      <c r="K184" s="16" t="s">
        <v>381</v>
      </c>
      <c r="L184" s="29">
        <v>1.2</v>
      </c>
      <c r="M184" s="29" t="s">
        <v>16</v>
      </c>
      <c r="N184" s="58" t="s">
        <v>562</v>
      </c>
      <c r="O184" s="29">
        <v>0.5</v>
      </c>
      <c r="P184" s="21">
        <v>21</v>
      </c>
      <c r="Q184" s="29">
        <v>16</v>
      </c>
      <c r="R184" s="21">
        <v>35</v>
      </c>
      <c r="S184" s="29" t="s">
        <v>339</v>
      </c>
    </row>
    <row r="185" spans="1:19">
      <c r="A185" s="22" t="s">
        <v>329</v>
      </c>
      <c r="B185" s="15" t="s">
        <v>370</v>
      </c>
      <c r="C185" s="30">
        <v>1</v>
      </c>
      <c r="D185" s="22" t="s">
        <v>328</v>
      </c>
      <c r="E185" s="44" t="s">
        <v>457</v>
      </c>
      <c r="F185" s="22">
        <v>1</v>
      </c>
      <c r="G185" s="30" t="s">
        <v>327</v>
      </c>
      <c r="H185" s="30" t="s">
        <v>422</v>
      </c>
      <c r="I185" s="30">
        <v>1</v>
      </c>
      <c r="J185" s="22" t="s">
        <v>24</v>
      </c>
      <c r="K185" s="16" t="s">
        <v>380</v>
      </c>
      <c r="L185" s="30">
        <v>2.2000000000000002</v>
      </c>
      <c r="M185" s="30" t="s">
        <v>340</v>
      </c>
      <c r="N185" s="49" t="s">
        <v>434</v>
      </c>
      <c r="O185" s="30">
        <v>2</v>
      </c>
      <c r="P185" s="22">
        <v>25</v>
      </c>
      <c r="Q185" s="30">
        <v>3</v>
      </c>
      <c r="R185" s="22">
        <v>56</v>
      </c>
      <c r="S185" s="30" t="s">
        <v>326</v>
      </c>
    </row>
    <row r="186" spans="1:19">
      <c r="A186" s="22" t="s">
        <v>341</v>
      </c>
      <c r="B186" s="33" t="s">
        <v>548</v>
      </c>
      <c r="C186" s="30">
        <v>1</v>
      </c>
      <c r="D186" s="22" t="s">
        <v>342</v>
      </c>
      <c r="E186" s="26" t="s">
        <v>482</v>
      </c>
      <c r="F186" s="22">
        <v>1.1000000000000001</v>
      </c>
      <c r="G186" s="30" t="s">
        <v>77</v>
      </c>
      <c r="H186" s="16" t="s">
        <v>391</v>
      </c>
      <c r="I186" s="30">
        <v>1.2</v>
      </c>
      <c r="J186" s="22" t="s">
        <v>24</v>
      </c>
      <c r="K186" s="16" t="s">
        <v>380</v>
      </c>
      <c r="L186" s="30">
        <v>2.2000000000000002</v>
      </c>
      <c r="M186" s="17" t="s">
        <v>22</v>
      </c>
      <c r="N186" s="58" t="s">
        <v>563</v>
      </c>
      <c r="O186" s="30">
        <v>0.25</v>
      </c>
      <c r="P186" s="22">
        <v>25</v>
      </c>
      <c r="Q186" s="30">
        <v>16</v>
      </c>
      <c r="R186" s="22">
        <v>15</v>
      </c>
      <c r="S186" s="30" t="s">
        <v>343</v>
      </c>
    </row>
    <row r="187" spans="1:19">
      <c r="A187" s="22" t="s">
        <v>344</v>
      </c>
      <c r="B187" s="33" t="s">
        <v>549</v>
      </c>
      <c r="C187" s="30">
        <v>1</v>
      </c>
      <c r="D187" s="22" t="s">
        <v>345</v>
      </c>
      <c r="E187" s="26" t="s">
        <v>480</v>
      </c>
      <c r="F187" s="22">
        <v>1</v>
      </c>
      <c r="G187" s="30" t="s">
        <v>105</v>
      </c>
      <c r="H187" s="16" t="s">
        <v>393</v>
      </c>
      <c r="I187" s="30">
        <v>1</v>
      </c>
      <c r="J187" s="22" t="s">
        <v>121</v>
      </c>
      <c r="K187" s="17" t="s">
        <v>121</v>
      </c>
      <c r="L187" s="30">
        <v>0</v>
      </c>
      <c r="M187" s="17" t="s">
        <v>22</v>
      </c>
      <c r="N187" s="58" t="s">
        <v>563</v>
      </c>
      <c r="O187" s="30">
        <v>6</v>
      </c>
      <c r="P187" s="22">
        <v>60</v>
      </c>
      <c r="Q187" s="30">
        <v>8</v>
      </c>
      <c r="R187" s="22">
        <v>42</v>
      </c>
      <c r="S187" s="30" t="s">
        <v>346</v>
      </c>
    </row>
    <row r="188" spans="1:19">
      <c r="A188" s="22" t="s">
        <v>347</v>
      </c>
      <c r="B188" s="33" t="s">
        <v>550</v>
      </c>
      <c r="C188" s="30">
        <v>1</v>
      </c>
      <c r="D188" s="22" t="s">
        <v>348</v>
      </c>
      <c r="E188" s="26" t="s">
        <v>478</v>
      </c>
      <c r="F188" s="22">
        <v>2</v>
      </c>
      <c r="G188" s="30" t="s">
        <v>296</v>
      </c>
      <c r="H188" s="16" t="s">
        <v>394</v>
      </c>
      <c r="I188" s="30">
        <v>1</v>
      </c>
      <c r="J188" s="22" t="s">
        <v>349</v>
      </c>
      <c r="K188" s="30" t="s">
        <v>388</v>
      </c>
      <c r="L188" s="30">
        <v>1</v>
      </c>
      <c r="M188" s="17" t="s">
        <v>22</v>
      </c>
      <c r="N188" s="58" t="s">
        <v>563</v>
      </c>
      <c r="O188" s="30">
        <v>1</v>
      </c>
      <c r="P188" s="22">
        <v>50</v>
      </c>
      <c r="Q188" s="30">
        <v>24</v>
      </c>
      <c r="R188" s="22">
        <v>35</v>
      </c>
      <c r="S188" s="30" t="s">
        <v>350</v>
      </c>
    </row>
    <row r="189" spans="1:19">
      <c r="A189" s="23" t="s">
        <v>329</v>
      </c>
      <c r="B189" s="15" t="s">
        <v>370</v>
      </c>
      <c r="C189" s="31">
        <v>1</v>
      </c>
      <c r="D189" s="23" t="s">
        <v>328</v>
      </c>
      <c r="E189" s="44" t="s">
        <v>457</v>
      </c>
      <c r="F189" s="23">
        <v>1</v>
      </c>
      <c r="G189" s="31" t="s">
        <v>327</v>
      </c>
      <c r="H189" s="31" t="s">
        <v>422</v>
      </c>
      <c r="I189" s="31">
        <v>1</v>
      </c>
      <c r="J189" s="23" t="s">
        <v>24</v>
      </c>
      <c r="K189" s="16" t="s">
        <v>380</v>
      </c>
      <c r="L189" s="31">
        <v>2.2000000000000002</v>
      </c>
      <c r="M189" s="17" t="s">
        <v>22</v>
      </c>
      <c r="N189" s="58" t="s">
        <v>563</v>
      </c>
      <c r="O189" s="31">
        <v>2</v>
      </c>
      <c r="P189" s="23">
        <v>25</v>
      </c>
      <c r="Q189" s="31">
        <v>3</v>
      </c>
      <c r="R189" s="23">
        <v>85</v>
      </c>
      <c r="S189" s="53" t="s">
        <v>326</v>
      </c>
    </row>
    <row r="190" spans="1:19">
      <c r="A190" s="77" t="s">
        <v>580</v>
      </c>
      <c r="B190" s="78" t="s">
        <v>581</v>
      </c>
      <c r="C190" s="77">
        <v>1</v>
      </c>
      <c r="D190" s="77" t="s">
        <v>582</v>
      </c>
      <c r="E190" s="77" t="s">
        <v>583</v>
      </c>
      <c r="F190" s="77">
        <v>2</v>
      </c>
      <c r="G190" s="77" t="s">
        <v>15</v>
      </c>
      <c r="H190" s="79" t="s">
        <v>392</v>
      </c>
      <c r="I190" s="77">
        <v>1.1000000000000001</v>
      </c>
      <c r="J190" s="77" t="s">
        <v>27</v>
      </c>
      <c r="K190" s="80" t="s">
        <v>379</v>
      </c>
      <c r="L190" s="77">
        <v>2</v>
      </c>
      <c r="M190" s="77" t="s">
        <v>16</v>
      </c>
      <c r="N190" s="81" t="s">
        <v>562</v>
      </c>
      <c r="O190" s="77">
        <v>0.06</v>
      </c>
      <c r="P190" s="77">
        <v>25</v>
      </c>
      <c r="Q190" s="77">
        <v>24</v>
      </c>
      <c r="R190" s="77">
        <v>52</v>
      </c>
      <c r="S190" s="77" t="s">
        <v>43</v>
      </c>
    </row>
    <row r="191" spans="1:19">
      <c r="A191" s="77" t="s">
        <v>584</v>
      </c>
      <c r="B191" s="78" t="s">
        <v>585</v>
      </c>
      <c r="C191" s="77">
        <v>1.5</v>
      </c>
      <c r="D191" s="77" t="s">
        <v>182</v>
      </c>
      <c r="E191" s="82" t="s">
        <v>469</v>
      </c>
      <c r="F191" s="77">
        <v>1</v>
      </c>
      <c r="G191" s="77" t="s">
        <v>105</v>
      </c>
      <c r="H191" s="81" t="s">
        <v>393</v>
      </c>
      <c r="I191" s="77">
        <v>1.2</v>
      </c>
      <c r="J191" s="77" t="s">
        <v>121</v>
      </c>
      <c r="K191" s="77" t="s">
        <v>121</v>
      </c>
      <c r="L191" s="77">
        <v>0</v>
      </c>
      <c r="M191" s="77" t="s">
        <v>16</v>
      </c>
      <c r="N191" s="81" t="s">
        <v>562</v>
      </c>
      <c r="O191" s="77">
        <v>1</v>
      </c>
      <c r="P191" s="77">
        <v>25</v>
      </c>
      <c r="Q191" s="77">
        <v>24</v>
      </c>
      <c r="R191" s="77">
        <v>48</v>
      </c>
      <c r="S191" s="77" t="s">
        <v>586</v>
      </c>
    </row>
    <row r="192" spans="1:19">
      <c r="A192" s="24" t="s">
        <v>351</v>
      </c>
      <c r="B192" s="100" t="s">
        <v>551</v>
      </c>
      <c r="C192" s="4">
        <v>1</v>
      </c>
      <c r="D192" s="37" t="s">
        <v>352</v>
      </c>
      <c r="E192" s="56" t="s">
        <v>455</v>
      </c>
      <c r="F192" s="27">
        <v>1.2</v>
      </c>
      <c r="G192" s="4" t="s">
        <v>77</v>
      </c>
      <c r="H192" s="18" t="s">
        <v>391</v>
      </c>
      <c r="I192" s="4">
        <v>2</v>
      </c>
      <c r="J192" s="36" t="s">
        <v>24</v>
      </c>
      <c r="K192" s="18" t="s">
        <v>380</v>
      </c>
      <c r="L192" s="5">
        <v>3</v>
      </c>
      <c r="M192" s="47" t="s">
        <v>22</v>
      </c>
      <c r="N192" s="18" t="s">
        <v>563</v>
      </c>
      <c r="O192" s="5">
        <v>6</v>
      </c>
      <c r="P192" s="27">
        <v>25</v>
      </c>
      <c r="Q192" s="4">
        <v>14</v>
      </c>
      <c r="R192" s="27">
        <v>38</v>
      </c>
      <c r="S192" s="54" t="s">
        <v>353</v>
      </c>
    </row>
    <row r="193" spans="1:19">
      <c r="A193" s="24" t="s">
        <v>553</v>
      </c>
      <c r="B193" s="100" t="s">
        <v>552</v>
      </c>
      <c r="C193" s="4">
        <v>1</v>
      </c>
      <c r="D193" s="37" t="s">
        <v>352</v>
      </c>
      <c r="E193" s="56" t="s">
        <v>455</v>
      </c>
      <c r="F193" s="27">
        <v>1</v>
      </c>
      <c r="G193" s="5" t="s">
        <v>59</v>
      </c>
      <c r="H193" s="18" t="s">
        <v>390</v>
      </c>
      <c r="I193" s="4">
        <v>1.3</v>
      </c>
      <c r="J193" s="24" t="s">
        <v>354</v>
      </c>
      <c r="K193" s="46" t="s">
        <v>389</v>
      </c>
      <c r="L193" s="4">
        <v>3</v>
      </c>
      <c r="M193" s="47" t="s">
        <v>22</v>
      </c>
      <c r="N193" s="18" t="s">
        <v>563</v>
      </c>
      <c r="O193" s="4">
        <v>11</v>
      </c>
      <c r="P193" s="27">
        <v>25</v>
      </c>
      <c r="Q193" s="4">
        <v>21</v>
      </c>
      <c r="R193" s="27">
        <v>44</v>
      </c>
      <c r="S193" s="46" t="s">
        <v>355</v>
      </c>
    </row>
    <row r="194" spans="1:19">
      <c r="A194" s="24" t="s">
        <v>356</v>
      </c>
      <c r="B194" s="100" t="s">
        <v>554</v>
      </c>
      <c r="C194" s="4">
        <v>1</v>
      </c>
      <c r="D194" s="37" t="s">
        <v>352</v>
      </c>
      <c r="E194" s="56" t="s">
        <v>455</v>
      </c>
      <c r="F194" s="27">
        <v>1.2</v>
      </c>
      <c r="G194" s="5" t="s">
        <v>59</v>
      </c>
      <c r="H194" s="18" t="s">
        <v>390</v>
      </c>
      <c r="I194" s="4">
        <v>1.5</v>
      </c>
      <c r="J194" s="36" t="s">
        <v>121</v>
      </c>
      <c r="K194" s="47" t="s">
        <v>121</v>
      </c>
      <c r="L194" s="5">
        <v>0</v>
      </c>
      <c r="M194" s="4" t="s">
        <v>16</v>
      </c>
      <c r="N194" s="18" t="s">
        <v>562</v>
      </c>
      <c r="O194" s="4">
        <v>0.3</v>
      </c>
      <c r="P194" s="27">
        <v>25</v>
      </c>
      <c r="Q194" s="4">
        <v>24</v>
      </c>
      <c r="R194" s="27">
        <v>6</v>
      </c>
      <c r="S194" s="54" t="s">
        <v>357</v>
      </c>
    </row>
    <row r="195" spans="1:19">
      <c r="A195" s="24" t="s">
        <v>556</v>
      </c>
      <c r="B195" s="100" t="s">
        <v>555</v>
      </c>
      <c r="C195" s="4">
        <v>1</v>
      </c>
      <c r="D195" s="39" t="s">
        <v>352</v>
      </c>
      <c r="E195" s="56" t="s">
        <v>455</v>
      </c>
      <c r="F195" s="37">
        <v>1</v>
      </c>
      <c r="G195" s="43" t="s">
        <v>59</v>
      </c>
      <c r="H195" s="18" t="s">
        <v>390</v>
      </c>
      <c r="I195" s="6">
        <v>1.3</v>
      </c>
      <c r="J195" s="24" t="s">
        <v>354</v>
      </c>
      <c r="K195" s="46" t="s">
        <v>389</v>
      </c>
      <c r="L195" s="6">
        <v>3</v>
      </c>
      <c r="M195" s="47" t="s">
        <v>22</v>
      </c>
      <c r="N195" s="18" t="s">
        <v>563</v>
      </c>
      <c r="O195" s="6">
        <v>0.1</v>
      </c>
      <c r="P195" s="37">
        <v>25</v>
      </c>
      <c r="Q195" s="6">
        <v>21</v>
      </c>
      <c r="R195" s="27">
        <v>29</v>
      </c>
      <c r="S195" s="46" t="s">
        <v>355</v>
      </c>
    </row>
    <row r="196" spans="1:19">
      <c r="A196" s="24" t="s">
        <v>358</v>
      </c>
      <c r="B196" s="94" t="s">
        <v>557</v>
      </c>
      <c r="C196" s="4">
        <v>1</v>
      </c>
      <c r="D196" s="39" t="s">
        <v>352</v>
      </c>
      <c r="E196" s="56" t="s">
        <v>455</v>
      </c>
      <c r="F196" s="37">
        <v>1.5</v>
      </c>
      <c r="G196" s="4" t="s">
        <v>77</v>
      </c>
      <c r="H196" s="18" t="s">
        <v>391</v>
      </c>
      <c r="I196" s="4">
        <v>1</v>
      </c>
      <c r="J196" s="36" t="s">
        <v>24</v>
      </c>
      <c r="K196" s="18" t="s">
        <v>380</v>
      </c>
      <c r="L196" s="5">
        <v>3</v>
      </c>
      <c r="M196" s="4" t="s">
        <v>317</v>
      </c>
      <c r="N196" s="4" t="s">
        <v>424</v>
      </c>
      <c r="O196" s="4">
        <v>0.05</v>
      </c>
      <c r="P196" s="27">
        <v>25</v>
      </c>
      <c r="Q196" s="4">
        <v>0.75</v>
      </c>
      <c r="R196" s="27">
        <v>49</v>
      </c>
      <c r="S196" s="46" t="s">
        <v>359</v>
      </c>
    </row>
    <row r="197" spans="1:19">
      <c r="A197" s="24" t="s">
        <v>360</v>
      </c>
      <c r="B197" s="94" t="s">
        <v>558</v>
      </c>
      <c r="C197" s="4">
        <v>1</v>
      </c>
      <c r="D197" s="39" t="s">
        <v>352</v>
      </c>
      <c r="E197" s="56" t="s">
        <v>455</v>
      </c>
      <c r="F197" s="27">
        <v>0.9</v>
      </c>
      <c r="G197" s="4" t="s">
        <v>77</v>
      </c>
      <c r="H197" s="18" t="s">
        <v>391</v>
      </c>
      <c r="I197" s="4">
        <v>1.2</v>
      </c>
      <c r="J197" s="45" t="s">
        <v>196</v>
      </c>
      <c r="K197" s="18" t="s">
        <v>381</v>
      </c>
      <c r="L197" s="4">
        <v>3.6</v>
      </c>
      <c r="M197" s="47" t="s">
        <v>22</v>
      </c>
      <c r="N197" s="58" t="s">
        <v>563</v>
      </c>
      <c r="O197" s="4">
        <v>0.02</v>
      </c>
      <c r="P197" s="27">
        <v>25</v>
      </c>
      <c r="Q197" s="4">
        <v>16</v>
      </c>
      <c r="R197" s="27">
        <v>28</v>
      </c>
      <c r="S197" s="46" t="s">
        <v>361</v>
      </c>
    </row>
    <row r="198" spans="1:19">
      <c r="A198" s="24" t="s">
        <v>559</v>
      </c>
      <c r="B198" s="94" t="s">
        <v>558</v>
      </c>
      <c r="C198" s="4">
        <v>1</v>
      </c>
      <c r="D198" s="40" t="s">
        <v>362</v>
      </c>
      <c r="E198" s="56" t="s">
        <v>456</v>
      </c>
      <c r="F198" s="27">
        <v>1</v>
      </c>
      <c r="G198" s="4" t="s">
        <v>77</v>
      </c>
      <c r="H198" s="18" t="s">
        <v>391</v>
      </c>
      <c r="I198" s="4">
        <v>3</v>
      </c>
      <c r="J198" s="45" t="s">
        <v>196</v>
      </c>
      <c r="K198" s="18" t="s">
        <v>381</v>
      </c>
      <c r="L198" s="4">
        <v>4</v>
      </c>
      <c r="M198" s="47" t="s">
        <v>22</v>
      </c>
      <c r="N198" s="58" t="s">
        <v>563</v>
      </c>
      <c r="O198" s="4">
        <v>0.03</v>
      </c>
      <c r="P198" s="27">
        <v>25</v>
      </c>
      <c r="Q198" s="4">
        <v>16</v>
      </c>
      <c r="R198" s="27">
        <v>13</v>
      </c>
      <c r="S198" s="46" t="s">
        <v>363</v>
      </c>
    </row>
    <row r="199" spans="1:19">
      <c r="A199" s="24" t="s">
        <v>364</v>
      </c>
      <c r="B199" s="94" t="s">
        <v>560</v>
      </c>
      <c r="C199" s="4">
        <v>1</v>
      </c>
      <c r="D199" s="40" t="s">
        <v>362</v>
      </c>
      <c r="E199" s="56" t="s">
        <v>456</v>
      </c>
      <c r="F199" s="27">
        <v>1.5</v>
      </c>
      <c r="G199" s="4" t="s">
        <v>77</v>
      </c>
      <c r="H199" s="18" t="s">
        <v>391</v>
      </c>
      <c r="I199" s="4">
        <v>1</v>
      </c>
      <c r="J199" s="36" t="s">
        <v>24</v>
      </c>
      <c r="K199" s="18" t="s">
        <v>380</v>
      </c>
      <c r="L199" s="5">
        <v>4</v>
      </c>
      <c r="M199" s="47" t="s">
        <v>22</v>
      </c>
      <c r="N199" s="58" t="s">
        <v>563</v>
      </c>
      <c r="O199" s="4">
        <v>1</v>
      </c>
      <c r="P199" s="12">
        <v>25</v>
      </c>
      <c r="Q199" s="51">
        <v>16</v>
      </c>
      <c r="R199" s="27">
        <v>38</v>
      </c>
      <c r="S199" s="46" t="s">
        <v>359</v>
      </c>
    </row>
    <row r="200" spans="1:19">
      <c r="A200" s="101" t="s">
        <v>589</v>
      </c>
      <c r="B200" s="101" t="s">
        <v>489</v>
      </c>
      <c r="C200" s="102">
        <v>1</v>
      </c>
      <c r="D200" s="101" t="s">
        <v>352</v>
      </c>
      <c r="E200" s="63" t="s">
        <v>455</v>
      </c>
      <c r="F200" s="102">
        <v>1</v>
      </c>
      <c r="G200" s="103" t="s">
        <v>59</v>
      </c>
      <c r="H200" s="65" t="s">
        <v>390</v>
      </c>
      <c r="I200" s="102">
        <v>1.3</v>
      </c>
      <c r="J200" s="104" t="s">
        <v>162</v>
      </c>
      <c r="K200" s="62" t="s">
        <v>384</v>
      </c>
      <c r="L200" s="102">
        <v>2</v>
      </c>
      <c r="M200" s="105" t="s">
        <v>240</v>
      </c>
      <c r="N200" s="65" t="s">
        <v>437</v>
      </c>
      <c r="O200" s="105">
        <v>0.5</v>
      </c>
      <c r="P200" s="105">
        <v>60</v>
      </c>
      <c r="Q200" s="105">
        <v>12</v>
      </c>
      <c r="R200" s="105">
        <v>30</v>
      </c>
      <c r="S200" s="105" t="s">
        <v>241</v>
      </c>
    </row>
    <row r="201" spans="1:19">
      <c r="A201" s="114" t="s">
        <v>587</v>
      </c>
      <c r="B201" s="114" t="s">
        <v>588</v>
      </c>
      <c r="C201" s="115">
        <v>1</v>
      </c>
      <c r="D201" s="114" t="s">
        <v>352</v>
      </c>
      <c r="E201" s="116" t="s">
        <v>455</v>
      </c>
      <c r="F201" s="115">
        <v>1</v>
      </c>
      <c r="G201" s="117" t="s">
        <v>59</v>
      </c>
      <c r="H201" s="118" t="s">
        <v>390</v>
      </c>
      <c r="I201" s="115">
        <v>1.3</v>
      </c>
      <c r="J201" s="119" t="s">
        <v>162</v>
      </c>
      <c r="K201" s="120" t="s">
        <v>384</v>
      </c>
      <c r="L201" s="115">
        <v>2</v>
      </c>
      <c r="M201" s="121" t="s">
        <v>240</v>
      </c>
      <c r="N201" s="118" t="s">
        <v>437</v>
      </c>
      <c r="O201" s="121">
        <v>0.5</v>
      </c>
      <c r="P201" s="121">
        <v>60</v>
      </c>
      <c r="Q201" s="121">
        <v>12</v>
      </c>
      <c r="R201" s="121">
        <v>37</v>
      </c>
      <c r="S201" s="121" t="s">
        <v>241</v>
      </c>
    </row>
    <row r="202" spans="1:19">
      <c r="A202" s="10"/>
      <c r="C202" s="15"/>
      <c r="D202" s="10"/>
      <c r="F202" s="10"/>
      <c r="G202" s="15"/>
      <c r="H202" s="15"/>
      <c r="I202" s="15"/>
      <c r="J202" s="10"/>
      <c r="K202" s="15"/>
      <c r="L202" s="15"/>
      <c r="M202" s="15"/>
      <c r="O202" s="15"/>
      <c r="P202" s="9"/>
      <c r="Q202" s="1"/>
      <c r="R202" s="10"/>
      <c r="S202" s="10"/>
    </row>
    <row r="203" spans="1:19">
      <c r="A203" s="10"/>
      <c r="C203" s="15"/>
      <c r="D203" s="10"/>
      <c r="F203" s="10"/>
      <c r="G203" s="15"/>
      <c r="H203" s="15"/>
      <c r="I203" s="15"/>
      <c r="J203" s="10"/>
      <c r="K203" s="15"/>
      <c r="L203" s="15"/>
      <c r="M203" s="15"/>
      <c r="O203" s="15"/>
      <c r="P203" s="9"/>
      <c r="Q203" s="1"/>
      <c r="R203" s="10"/>
      <c r="S203" s="10"/>
    </row>
    <row r="204" spans="1:19">
      <c r="A204" s="10"/>
      <c r="C204" s="15"/>
      <c r="D204" s="10"/>
      <c r="F204" s="10"/>
      <c r="G204" s="15"/>
      <c r="H204" s="15"/>
      <c r="I204" s="15"/>
      <c r="J204" s="10"/>
      <c r="K204" s="15"/>
      <c r="L204" s="15"/>
      <c r="M204" s="15"/>
      <c r="O204" s="15"/>
      <c r="P204" s="9"/>
      <c r="Q204" s="1"/>
      <c r="R204" s="10"/>
      <c r="S204" s="10"/>
    </row>
    <row r="205" spans="1:19">
      <c r="A205" s="10"/>
      <c r="C205" s="15"/>
      <c r="D205" s="10"/>
      <c r="F205" s="10"/>
      <c r="G205" s="15"/>
      <c r="H205" s="15"/>
      <c r="I205" s="15"/>
      <c r="J205" s="10"/>
      <c r="K205" s="15"/>
      <c r="L205" s="15"/>
      <c r="M205" s="15"/>
      <c r="O205" s="15"/>
      <c r="P205" s="9"/>
      <c r="Q205" s="1"/>
      <c r="R205" s="10"/>
      <c r="S205" s="10"/>
    </row>
    <row r="206" spans="1:19">
      <c r="A206" s="10"/>
      <c r="C206" s="15"/>
      <c r="D206" s="10"/>
      <c r="F206" s="10"/>
      <c r="G206" s="15"/>
      <c r="H206" s="15"/>
      <c r="I206" s="15"/>
      <c r="J206" s="10"/>
      <c r="K206" s="15"/>
      <c r="L206" s="15"/>
      <c r="M206" s="15"/>
      <c r="O206" s="15"/>
      <c r="P206" s="9"/>
      <c r="Q206" s="1"/>
      <c r="R206" s="10"/>
      <c r="S206" s="10"/>
    </row>
    <row r="207" spans="1:19">
      <c r="A207" s="10"/>
      <c r="C207" s="15"/>
      <c r="D207" s="10"/>
      <c r="F207" s="10"/>
      <c r="G207" s="15"/>
      <c r="H207" s="15"/>
      <c r="I207" s="15"/>
      <c r="J207" s="10"/>
      <c r="K207" s="15"/>
      <c r="L207" s="15"/>
      <c r="M207" s="15"/>
      <c r="O207" s="15"/>
      <c r="P207" s="9"/>
      <c r="Q207" s="1"/>
      <c r="R207" s="10"/>
      <c r="S207" s="10"/>
    </row>
    <row r="208" spans="1:19">
      <c r="A208" s="10"/>
      <c r="C208" s="15"/>
      <c r="D208" s="10"/>
      <c r="F208" s="10"/>
      <c r="G208" s="15"/>
      <c r="H208" s="15"/>
      <c r="I208" s="15"/>
      <c r="J208" s="10"/>
      <c r="K208" s="15"/>
      <c r="L208" s="15"/>
      <c r="M208" s="15"/>
      <c r="O208" s="15"/>
      <c r="P208" s="9"/>
      <c r="Q208" s="1"/>
      <c r="R208" s="10"/>
      <c r="S208" s="10"/>
    </row>
    <row r="209" spans="1:19">
      <c r="A209" s="10"/>
      <c r="C209" s="15"/>
      <c r="D209" s="10"/>
      <c r="F209" s="10"/>
      <c r="G209" s="15"/>
      <c r="H209" s="15"/>
      <c r="I209" s="15"/>
      <c r="J209" s="10"/>
      <c r="K209" s="15"/>
      <c r="L209" s="15"/>
      <c r="M209" s="15"/>
      <c r="O209" s="15"/>
      <c r="P209" s="9"/>
      <c r="Q209" s="1"/>
      <c r="R209" s="10"/>
      <c r="S209" s="10"/>
    </row>
    <row r="210" spans="1:19">
      <c r="A210" s="10"/>
      <c r="C210" s="15"/>
      <c r="D210" s="10"/>
      <c r="F210" s="10"/>
      <c r="G210" s="15"/>
      <c r="H210" s="15"/>
      <c r="I210" s="15"/>
      <c r="J210" s="10"/>
      <c r="K210" s="15"/>
      <c r="L210" s="15"/>
      <c r="M210" s="15"/>
      <c r="O210" s="15"/>
      <c r="P210" s="9"/>
      <c r="Q210" s="1"/>
      <c r="R210" s="10"/>
      <c r="S210" s="10"/>
    </row>
    <row r="211" spans="1:19">
      <c r="A211" s="10"/>
      <c r="C211" s="15"/>
      <c r="D211" s="10"/>
      <c r="F211" s="10"/>
      <c r="G211" s="15"/>
      <c r="H211" s="15"/>
      <c r="I211" s="15"/>
      <c r="J211" s="10"/>
      <c r="K211" s="15"/>
      <c r="L211" s="15"/>
      <c r="M211" s="15"/>
      <c r="O211" s="15"/>
      <c r="P211" s="9"/>
      <c r="Q211" s="1"/>
      <c r="R211" s="10"/>
      <c r="S211" s="10"/>
    </row>
    <row r="212" spans="1:19">
      <c r="A212" s="10"/>
      <c r="C212" s="15"/>
      <c r="D212" s="10"/>
      <c r="F212" s="10"/>
      <c r="G212" s="15"/>
      <c r="H212" s="15"/>
      <c r="I212" s="15"/>
      <c r="J212" s="10"/>
      <c r="K212" s="15"/>
      <c r="L212" s="15"/>
      <c r="M212" s="15"/>
      <c r="O212" s="15"/>
      <c r="P212" s="9"/>
      <c r="Q212" s="1"/>
      <c r="R212" s="10"/>
      <c r="S212" s="10"/>
    </row>
    <row r="213" spans="1:19">
      <c r="A213" s="10"/>
      <c r="C213" s="15"/>
      <c r="D213" s="10"/>
      <c r="F213" s="10"/>
      <c r="G213" s="15"/>
      <c r="H213" s="15"/>
      <c r="I213" s="15"/>
      <c r="J213" s="10"/>
      <c r="K213" s="15"/>
      <c r="L213" s="15"/>
      <c r="M213" s="15"/>
      <c r="O213" s="15"/>
      <c r="P213" s="9"/>
      <c r="Q213" s="1"/>
      <c r="R213" s="10"/>
      <c r="S213" s="10"/>
    </row>
    <row r="214" spans="1:19">
      <c r="A214" s="10"/>
      <c r="C214" s="15"/>
      <c r="D214" s="10"/>
      <c r="F214" s="10"/>
      <c r="G214" s="15"/>
      <c r="H214" s="15"/>
      <c r="I214" s="15"/>
      <c r="J214" s="10"/>
      <c r="K214" s="15"/>
      <c r="L214" s="15"/>
      <c r="M214" s="15"/>
      <c r="O214" s="15"/>
      <c r="P214" s="9"/>
      <c r="Q214" s="1"/>
      <c r="R214" s="10"/>
      <c r="S214" s="10"/>
    </row>
    <row r="215" spans="1:19">
      <c r="A215" s="10"/>
      <c r="C215" s="15"/>
      <c r="D215" s="10"/>
      <c r="F215" s="10"/>
      <c r="G215" s="15"/>
      <c r="H215" s="15"/>
      <c r="I215" s="15"/>
      <c r="J215" s="10"/>
      <c r="K215" s="15"/>
      <c r="L215" s="15"/>
      <c r="M215" s="15"/>
      <c r="O215" s="15"/>
      <c r="P215" s="9"/>
      <c r="Q215" s="1"/>
      <c r="R215" s="10"/>
      <c r="S215" s="10"/>
    </row>
    <row r="216" spans="1:19">
      <c r="A216" s="10"/>
      <c r="C216" s="15"/>
      <c r="D216" s="10"/>
      <c r="F216" s="10"/>
      <c r="G216" s="15"/>
      <c r="H216" s="15"/>
      <c r="I216" s="15"/>
      <c r="J216" s="10"/>
      <c r="K216" s="15"/>
      <c r="L216" s="15"/>
      <c r="M216" s="15"/>
      <c r="O216" s="15"/>
      <c r="P216" s="9"/>
      <c r="Q216" s="1"/>
      <c r="R216" s="10"/>
      <c r="S216" s="10"/>
    </row>
    <row r="217" spans="1:19">
      <c r="A217" s="10"/>
      <c r="C217" s="15"/>
      <c r="D217" s="10"/>
      <c r="F217" s="10"/>
      <c r="G217" s="15"/>
      <c r="H217" s="15"/>
      <c r="I217" s="15"/>
      <c r="J217" s="10"/>
      <c r="K217" s="15"/>
      <c r="L217" s="15"/>
      <c r="M217" s="15"/>
      <c r="O217" s="15"/>
      <c r="P217" s="9"/>
      <c r="Q217" s="1"/>
      <c r="R217" s="10"/>
      <c r="S217" s="10"/>
    </row>
    <row r="218" spans="1:19">
      <c r="A218" s="10"/>
      <c r="C218" s="15"/>
      <c r="D218" s="10"/>
      <c r="F218" s="10"/>
      <c r="G218" s="15"/>
      <c r="H218" s="15"/>
      <c r="I218" s="15"/>
      <c r="J218" s="10"/>
      <c r="K218" s="15"/>
      <c r="L218" s="15"/>
      <c r="M218" s="15"/>
      <c r="O218" s="15"/>
      <c r="P218" s="9"/>
      <c r="Q218" s="1"/>
      <c r="R218" s="10"/>
      <c r="S218" s="10"/>
    </row>
    <row r="219" spans="1:19">
      <c r="A219" s="10"/>
      <c r="C219" s="15"/>
      <c r="D219" s="10"/>
      <c r="F219" s="10"/>
      <c r="G219" s="15"/>
      <c r="H219" s="15"/>
      <c r="I219" s="15"/>
      <c r="J219" s="10"/>
      <c r="K219" s="15"/>
      <c r="L219" s="15"/>
      <c r="M219" s="15"/>
      <c r="O219" s="15"/>
      <c r="P219" s="9"/>
      <c r="Q219" s="1"/>
      <c r="R219" s="10"/>
      <c r="S219" s="10"/>
    </row>
    <row r="220" spans="1:19">
      <c r="A220" s="10"/>
      <c r="C220" s="15"/>
      <c r="D220" s="10"/>
      <c r="F220" s="10"/>
      <c r="G220" s="15"/>
      <c r="H220" s="15"/>
      <c r="I220" s="15"/>
      <c r="J220" s="10"/>
      <c r="K220" s="15"/>
      <c r="L220" s="15"/>
      <c r="M220" s="15"/>
      <c r="O220" s="15"/>
      <c r="P220" s="9"/>
      <c r="Q220" s="1"/>
      <c r="R220" s="10"/>
      <c r="S220" s="10"/>
    </row>
    <row r="221" spans="1:19">
      <c r="A221" s="10"/>
      <c r="C221" s="15"/>
      <c r="D221" s="10"/>
      <c r="F221" s="10"/>
      <c r="G221" s="15"/>
      <c r="H221" s="15"/>
      <c r="I221" s="15"/>
      <c r="J221" s="10"/>
      <c r="K221" s="15"/>
      <c r="L221" s="15"/>
      <c r="M221" s="15"/>
      <c r="O221" s="15"/>
      <c r="P221" s="9"/>
      <c r="Q221" s="1"/>
      <c r="R221" s="10"/>
      <c r="S221" s="10"/>
    </row>
    <row r="222" spans="1:19">
      <c r="A222" s="10"/>
      <c r="C222" s="15"/>
      <c r="D222" s="10"/>
      <c r="F222" s="10"/>
      <c r="G222" s="15"/>
      <c r="H222" s="15"/>
      <c r="I222" s="15"/>
      <c r="J222" s="10"/>
      <c r="K222" s="15"/>
      <c r="L222" s="15"/>
      <c r="M222" s="15"/>
      <c r="O222" s="15"/>
      <c r="P222" s="9"/>
      <c r="Q222" s="1"/>
      <c r="R222" s="10"/>
      <c r="S222" s="10"/>
    </row>
    <row r="223" spans="1:19">
      <c r="A223" s="10"/>
      <c r="C223" s="15"/>
      <c r="D223" s="10"/>
      <c r="F223" s="10"/>
      <c r="G223" s="15"/>
      <c r="H223" s="15"/>
      <c r="I223" s="15"/>
      <c r="J223" s="10"/>
      <c r="K223" s="15"/>
      <c r="L223" s="15"/>
      <c r="M223" s="15"/>
      <c r="O223" s="15"/>
      <c r="P223" s="9"/>
      <c r="Q223" s="1"/>
      <c r="R223" s="10"/>
      <c r="S223" s="10"/>
    </row>
    <row r="224" spans="1:19">
      <c r="A224" s="10"/>
      <c r="C224" s="15"/>
      <c r="D224" s="10"/>
      <c r="F224" s="10"/>
      <c r="G224" s="15"/>
      <c r="H224" s="15"/>
      <c r="I224" s="15"/>
      <c r="J224" s="10"/>
      <c r="K224" s="15"/>
      <c r="L224" s="15"/>
      <c r="M224" s="15"/>
      <c r="O224" s="15"/>
      <c r="P224" s="9"/>
      <c r="Q224" s="1"/>
      <c r="R224" s="10"/>
      <c r="S224" s="10"/>
    </row>
    <row r="225" spans="1:19">
      <c r="A225" s="10"/>
      <c r="C225" s="15"/>
      <c r="D225" s="10"/>
      <c r="F225" s="10"/>
      <c r="G225" s="15"/>
      <c r="H225" s="15"/>
      <c r="I225" s="15"/>
      <c r="J225" s="10"/>
      <c r="K225" s="15"/>
      <c r="L225" s="15"/>
      <c r="M225" s="15"/>
      <c r="O225" s="15"/>
      <c r="P225" s="9"/>
      <c r="Q225" s="1"/>
      <c r="R225" s="10"/>
      <c r="S225" s="10"/>
    </row>
    <row r="226" spans="1:19">
      <c r="A226" s="10"/>
      <c r="C226" s="15"/>
      <c r="D226" s="10"/>
      <c r="F226" s="10"/>
      <c r="G226" s="15"/>
      <c r="H226" s="15"/>
      <c r="I226" s="15"/>
      <c r="J226" s="10"/>
      <c r="K226" s="15"/>
      <c r="L226" s="15"/>
      <c r="M226" s="15"/>
      <c r="O226" s="15"/>
      <c r="P226" s="9"/>
      <c r="Q226" s="1"/>
      <c r="R226" s="10"/>
      <c r="S226" s="10"/>
    </row>
    <row r="227" spans="1:19">
      <c r="A227" s="10"/>
      <c r="C227" s="15"/>
      <c r="D227" s="10"/>
      <c r="F227" s="10"/>
      <c r="G227" s="15"/>
      <c r="H227" s="15"/>
      <c r="I227" s="15"/>
      <c r="J227" s="10"/>
      <c r="K227" s="15"/>
      <c r="L227" s="15"/>
      <c r="M227" s="15"/>
      <c r="O227" s="15"/>
      <c r="P227" s="9"/>
      <c r="Q227" s="1"/>
      <c r="R227" s="10"/>
      <c r="S227" s="10"/>
    </row>
    <row r="228" spans="1:19">
      <c r="A228" s="10"/>
      <c r="C228" s="15"/>
      <c r="D228" s="10"/>
      <c r="F228" s="10"/>
      <c r="G228" s="15"/>
      <c r="H228" s="15"/>
      <c r="I228" s="15"/>
      <c r="J228" s="10"/>
      <c r="K228" s="15"/>
      <c r="L228" s="15"/>
      <c r="M228" s="15"/>
      <c r="O228" s="15"/>
      <c r="P228" s="9"/>
      <c r="Q228" s="1"/>
      <c r="R228" s="10"/>
      <c r="S228" s="10"/>
    </row>
    <row r="229" spans="1:19">
      <c r="A229" s="10"/>
      <c r="C229" s="15"/>
      <c r="D229" s="10"/>
      <c r="F229" s="10"/>
      <c r="G229" s="15"/>
      <c r="H229" s="15"/>
      <c r="I229" s="15"/>
      <c r="J229" s="10"/>
      <c r="K229" s="15"/>
      <c r="L229" s="15"/>
      <c r="M229" s="15"/>
      <c r="O229" s="15"/>
      <c r="P229" s="9"/>
      <c r="Q229" s="1"/>
      <c r="R229" s="10"/>
      <c r="S229" s="10"/>
    </row>
    <row r="230" spans="1:19">
      <c r="A230" s="10"/>
      <c r="C230" s="15"/>
      <c r="D230" s="10"/>
      <c r="F230" s="10"/>
      <c r="G230" s="15"/>
      <c r="H230" s="15"/>
      <c r="I230" s="15"/>
      <c r="J230" s="10"/>
      <c r="K230" s="15"/>
      <c r="L230" s="15"/>
      <c r="M230" s="15"/>
      <c r="O230" s="15"/>
      <c r="P230" s="9"/>
      <c r="Q230" s="1"/>
      <c r="R230" s="10"/>
      <c r="S230" s="10"/>
    </row>
  </sheetData>
  <phoneticPr fontId="20" type="noConversion"/>
  <hyperlinks>
    <hyperlink ref="S2" r:id="rId1" tooltip="Link to landing page via DOI" xr:uid="{711974C6-BBB1-4F33-A706-FF252EB9C997}"/>
    <hyperlink ref="S3" r:id="rId2" tooltip="DOI URL" xr:uid="{C74CCB69-90DA-4730-8D7B-60004CEA9060}"/>
    <hyperlink ref="S4" r:id="rId3" xr:uid="{A7C52451-4338-49B8-BB30-A558AC50D881}"/>
    <hyperlink ref="S5" r:id="rId4" xr:uid="{53C8175C-A364-456A-AF9F-EAEE1DBF9D3C}"/>
    <hyperlink ref="S6" r:id="rId5" xr:uid="{2CAD8932-CA05-4D5B-AFE5-CF062BD78574}"/>
    <hyperlink ref="S9" r:id="rId6" xr:uid="{7E8743DD-7E1D-4F95-BE70-A077CF4BBBD9}"/>
    <hyperlink ref="S10" r:id="rId7" xr:uid="{1C086A7C-B887-4E1B-9A38-7F731E0B1603}"/>
    <hyperlink ref="S12" r:id="rId8" tooltip="DOI URL" xr:uid="{5DC3A97D-C621-4188-A027-753D540470C9}"/>
    <hyperlink ref="S13" r:id="rId9" tooltip="Persistent link using digital object identifier" xr:uid="{B61A6506-21EB-4517-A275-751218A55732}"/>
    <hyperlink ref="S15" r:id="rId10" xr:uid="{20A9F570-B89E-4C9A-8BCD-86DC73F14D41}"/>
    <hyperlink ref="S16" r:id="rId11" tooltip="DOI URL" xr:uid="{B0F180CE-6118-4FA7-8B8F-F52AEC6A99A9}"/>
    <hyperlink ref="S18" r:id="rId12" tooltip="Link to landing page via DOI" xr:uid="{2A1E7031-F485-4F31-847B-97F3E2DB89AC}"/>
    <hyperlink ref="S19" r:id="rId13" tooltip="Link to landing page via DOI" xr:uid="{6A0E587F-FDD6-4F04-A8C1-FF868FF3AF65}"/>
    <hyperlink ref="S20" r:id="rId14" tooltip="DOI URL" xr:uid="{3E3C6195-DF6C-4B82-A14D-190FBABA8E0A}"/>
    <hyperlink ref="S22" r:id="rId15" tooltip="DOI URL" xr:uid="{1887D2D7-5ABE-41BB-9E92-8E13813D5955}"/>
    <hyperlink ref="S24" r:id="rId16" tooltip="DOI URL" xr:uid="{F159CC7C-D4DD-486E-9508-3A5A24764031}"/>
    <hyperlink ref="S76" r:id="rId17" xr:uid="{FEDB61C3-C5E4-421B-8BF6-D67443537276}"/>
    <hyperlink ref="S66" r:id="rId18" xr:uid="{EBE9DEA1-68E7-4F86-8934-2B256977A109}"/>
    <hyperlink ref="S88" r:id="rId19" xr:uid="{84ACD1D0-79B4-4F5D-BBEB-287EF01F9892}"/>
    <hyperlink ref="S91" r:id="rId20" xr:uid="{4B6AAA64-E264-45A7-B022-BA304D9B08F5}"/>
    <hyperlink ref="S94" r:id="rId21" xr:uid="{76340AFF-09FC-4B35-BAB2-593FB737F2A2}"/>
    <hyperlink ref="S124" r:id="rId22" xr:uid="{7E487718-E6B8-9445-AB51-09F4A267CEBD}"/>
    <hyperlink ref="S129" r:id="rId23" xr:uid="{D6068067-A3AC-574F-8DCE-7B33FBEE2FA7}"/>
    <hyperlink ref="S130:S133" r:id="rId24" display="https://pubs.acs.org/doi/10.1021/acs.orglett.0c01676." xr:uid="{C280DA82-4C28-7A41-99B7-1DE02D16A900}"/>
    <hyperlink ref="S134" r:id="rId25" xr:uid="{9928A737-5FAB-CD4A-B02D-1C4C7D281FBC}"/>
    <hyperlink ref="S135:S138" r:id="rId26" display="https://doi.org/10.1039/D3QO01705B" xr:uid="{C48ACE45-49D1-2641-A0D1-E1ADDF2DF9E5}"/>
    <hyperlink ref="S143" r:id="rId27" xr:uid="{6498E25D-588F-0646-9E86-12D753270831}"/>
    <hyperlink ref="S144" r:id="rId28" xr:uid="{C3F0F485-0B7A-C440-A277-850349683566}"/>
    <hyperlink ref="S145" r:id="rId29" xr:uid="{900E5E48-84B4-3845-9555-47CF3DDB29FD}"/>
    <hyperlink ref="S146" r:id="rId30" xr:uid="{BCC73812-71AB-C14D-8F60-1CB63A62229C}"/>
    <hyperlink ref="S147" r:id="rId31" xr:uid="{0564592B-9B48-FF46-86E9-0612FD099E5B}"/>
    <hyperlink ref="S148" r:id="rId32" xr:uid="{7368EFFA-9889-9446-B591-4952BE3F63DB}"/>
    <hyperlink ref="S140" r:id="rId33" xr:uid="{2CEDEA9C-4FC1-D740-AA9A-9EF14AC9056C}"/>
    <hyperlink ref="S139" r:id="rId34" xr:uid="{9D6F541B-0197-A94C-9F81-75452B0F1AA3}"/>
    <hyperlink ref="S141" r:id="rId35" xr:uid="{FADF2879-5764-424B-8959-25BFF92D019F}"/>
    <hyperlink ref="S142" r:id="rId36" xr:uid="{7BB78492-800D-FA4D-8385-D78832D53EB8}"/>
    <hyperlink ref="S149" r:id="rId37" xr:uid="{0E5B481A-8BAF-A641-8E20-252A2E82C24D}"/>
    <hyperlink ref="S150" r:id="rId38" xr:uid="{CF0663C3-1C5B-6248-A30A-5C715E12199D}"/>
    <hyperlink ref="S151" r:id="rId39" xr:uid="{E971BAEA-E838-CC43-9835-60585F0D7A92}"/>
    <hyperlink ref="S152" r:id="rId40" xr:uid="{C7FD0D7F-23B2-6044-851D-6021A664FEEF}"/>
    <hyperlink ref="S153" r:id="rId41" xr:uid="{B08403F7-39FF-B74A-94AA-6A881E0331EF}"/>
    <hyperlink ref="S125" r:id="rId42" xr:uid="{BA9B277F-192A-A540-A805-E81D2A4C4EC2}"/>
    <hyperlink ref="S126" r:id="rId43" xr:uid="{739A4D7B-B5E1-6742-8625-EA5E3E52B4B9}"/>
    <hyperlink ref="S127" r:id="rId44" xr:uid="{3377A1AB-2C16-724F-9B69-65101C008872}"/>
    <hyperlink ref="S128" r:id="rId45" xr:uid="{36345487-FA9D-8E4C-B5BE-7B4DBEC3207B}"/>
    <hyperlink ref="S178" r:id="rId46" xr:uid="{D1280C7C-FB2E-9445-B373-21066DD121A5}"/>
    <hyperlink ref="S179" r:id="rId47" xr:uid="{AD262B74-7833-284E-B91D-4374C74B6CD8}"/>
    <hyperlink ref="S180" r:id="rId48" xr:uid="{E016C44E-4AB3-9241-9962-6FFD6159C018}"/>
    <hyperlink ref="S182" r:id="rId49" xr:uid="{E5120085-2901-CF49-8642-A088CEC61F2A}"/>
    <hyperlink ref="S183" r:id="rId50" display="https://doi.org/10.1016/j.tet.2008.09.094" xr:uid="{849A39F3-D3DF-9A44-AD80-668E84AEEBC7}"/>
    <hyperlink ref="S184" r:id="rId51" display="https://doi.org/10.1111/cbdd.13039" xr:uid="{23A59C0D-69C5-D24D-9C1A-7E0EF7B58690}"/>
    <hyperlink ref="S185" r:id="rId52" xr:uid="{CE4D800C-3D69-8F4C-804F-B2E724B92548}"/>
    <hyperlink ref="S188" r:id="rId53" tooltip="DOI URL" xr:uid="{9C791621-9B4C-9F40-919F-A9DFF56AC21D}"/>
    <hyperlink ref="S189" r:id="rId54" xr:uid="{E31C7775-9737-884C-8378-E04A425BFC1D}"/>
    <hyperlink ref="S190" r:id="rId55" tooltip="DOI URL" xr:uid="{7BC03704-AC62-4740-932E-D2DB62AE4301}"/>
    <hyperlink ref="S191" r:id="rId56" display="https://doi.org/10.1016/j.bmc.2017.05.015" xr:uid="{CEE48746-49DE-B64A-8F51-E8B8449C2C1E}"/>
    <hyperlink ref="S175" r:id="rId57" display="https://doi.org/10.1016/j.tet.2008.09.094" xr:uid="{1B32DEE0-0F7B-854E-9602-E20C6EFE679B}"/>
    <hyperlink ref="S201" r:id="rId58" xr:uid="{9F064A86-8BB6-504E-BB67-65F1A9F2DB5B}"/>
    <hyperlink ref="S200" r:id="rId59" xr:uid="{8CD49246-5DEB-CB4D-98E1-7DD1B9BEA699}"/>
    <hyperlink ref="S194" r:id="rId60" display="https://doi.org/10.1021/jm200256g" xr:uid="{5E407ABC-090C-9F48-86E2-23BD4F7AAAB2}"/>
    <hyperlink ref="S192" r:id="rId61" display="https://doi.org/10.1016/j.ejmech.2023.116101" xr:uid="{F7714A8C-196C-A848-A9FD-069322504A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A475-9965-5E4E-B87C-1440031A8A06}">
  <dimension ref="A1:S203"/>
  <sheetViews>
    <sheetView topLeftCell="C181" workbookViewId="0">
      <selection activeCell="R201" sqref="R201:R203"/>
    </sheetView>
  </sheetViews>
  <sheetFormatPr baseColWidth="10" defaultRowHeight="15"/>
  <cols>
    <col min="1" max="1" width="114.83203125" bestFit="1" customWidth="1"/>
    <col min="19" max="19" width="103.1640625" bestFit="1" customWidth="1"/>
  </cols>
  <sheetData>
    <row r="1" spans="1:19" ht="16">
      <c r="A1" s="25" t="s">
        <v>0</v>
      </c>
      <c r="B1" s="25" t="s">
        <v>575</v>
      </c>
      <c r="C1" s="13" t="s">
        <v>1</v>
      </c>
      <c r="D1" s="25" t="s">
        <v>2</v>
      </c>
      <c r="E1" s="25" t="s">
        <v>576</v>
      </c>
      <c r="F1" s="25" t="s">
        <v>3</v>
      </c>
      <c r="G1" s="13" t="s">
        <v>4</v>
      </c>
      <c r="H1" s="25" t="s">
        <v>577</v>
      </c>
      <c r="I1" s="13" t="s">
        <v>5</v>
      </c>
      <c r="J1" s="25" t="s">
        <v>6</v>
      </c>
      <c r="K1" s="13" t="s">
        <v>578</v>
      </c>
      <c r="L1" s="13" t="s">
        <v>7</v>
      </c>
      <c r="M1" s="13" t="s">
        <v>8</v>
      </c>
      <c r="N1" s="13" t="s">
        <v>579</v>
      </c>
      <c r="O1" s="13" t="s">
        <v>9</v>
      </c>
      <c r="P1" s="7" t="s">
        <v>10</v>
      </c>
      <c r="Q1" s="8" t="s">
        <v>11</v>
      </c>
      <c r="R1" s="52" t="s">
        <v>217</v>
      </c>
      <c r="S1" s="13" t="s">
        <v>12</v>
      </c>
    </row>
    <row r="2" spans="1:19" ht="16">
      <c r="A2" s="10" t="s">
        <v>13</v>
      </c>
      <c r="B2" s="94" t="s">
        <v>365</v>
      </c>
      <c r="C2" s="15">
        <v>1</v>
      </c>
      <c r="D2" s="10" t="s">
        <v>14</v>
      </c>
      <c r="E2" s="10" t="s">
        <v>382</v>
      </c>
      <c r="F2" s="10">
        <v>1.1000000000000001</v>
      </c>
      <c r="G2" s="15" t="s">
        <v>15</v>
      </c>
      <c r="H2" s="15" t="s">
        <v>392</v>
      </c>
      <c r="I2" s="15">
        <v>1.1000000000000001</v>
      </c>
      <c r="J2" s="10" t="s">
        <v>14</v>
      </c>
      <c r="K2" s="15" t="s">
        <v>382</v>
      </c>
      <c r="L2" s="15">
        <v>1</v>
      </c>
      <c r="M2" s="15" t="s">
        <v>16</v>
      </c>
      <c r="N2" s="58" t="s">
        <v>562</v>
      </c>
      <c r="O2" s="15">
        <v>0.6</v>
      </c>
      <c r="P2" s="9">
        <v>25</v>
      </c>
      <c r="Q2" s="1">
        <v>2</v>
      </c>
      <c r="R2" s="10">
        <v>96</v>
      </c>
      <c r="S2" s="15" t="s">
        <v>17</v>
      </c>
    </row>
    <row r="3" spans="1:19" ht="16">
      <c r="A3" s="10" t="s">
        <v>13</v>
      </c>
      <c r="B3" s="33" t="s">
        <v>365</v>
      </c>
      <c r="C3" s="15">
        <v>1</v>
      </c>
      <c r="D3" s="10" t="s">
        <v>14</v>
      </c>
      <c r="E3" s="10" t="s">
        <v>382</v>
      </c>
      <c r="F3" s="10">
        <v>1.1000000000000001</v>
      </c>
      <c r="G3" s="15" t="s">
        <v>18</v>
      </c>
      <c r="H3" s="14" t="s">
        <v>393</v>
      </c>
      <c r="I3" s="15">
        <v>1.5</v>
      </c>
      <c r="J3" s="10" t="s">
        <v>14</v>
      </c>
      <c r="K3" s="15" t="s">
        <v>382</v>
      </c>
      <c r="L3" s="15">
        <v>1</v>
      </c>
      <c r="M3" s="15" t="s">
        <v>16</v>
      </c>
      <c r="N3" s="58" t="s">
        <v>562</v>
      </c>
      <c r="O3" s="15">
        <v>0.25</v>
      </c>
      <c r="P3" s="9">
        <v>25</v>
      </c>
      <c r="Q3" s="1">
        <v>1.5</v>
      </c>
      <c r="R3" s="10">
        <v>88</v>
      </c>
      <c r="S3" s="15" t="s">
        <v>19</v>
      </c>
    </row>
    <row r="4" spans="1:19" ht="16">
      <c r="A4" s="10" t="s">
        <v>13</v>
      </c>
      <c r="B4" s="33" t="s">
        <v>365</v>
      </c>
      <c r="C4" s="15">
        <v>1</v>
      </c>
      <c r="D4" s="10" t="s">
        <v>14</v>
      </c>
      <c r="E4" s="10" t="s">
        <v>382</v>
      </c>
      <c r="F4" s="10">
        <v>1.1000000000000001</v>
      </c>
      <c r="G4" s="15" t="s">
        <v>20</v>
      </c>
      <c r="H4" s="59" t="s">
        <v>561</v>
      </c>
      <c r="I4" s="15">
        <v>1.5</v>
      </c>
      <c r="J4" s="10" t="s">
        <v>21</v>
      </c>
      <c r="K4" s="14" t="s">
        <v>380</v>
      </c>
      <c r="L4" s="15">
        <v>2</v>
      </c>
      <c r="M4" s="15" t="s">
        <v>22</v>
      </c>
      <c r="N4" s="58" t="s">
        <v>563</v>
      </c>
      <c r="O4" s="15">
        <v>0.5</v>
      </c>
      <c r="P4" s="9">
        <v>25</v>
      </c>
      <c r="Q4" s="1">
        <v>1</v>
      </c>
      <c r="R4" s="10">
        <v>96</v>
      </c>
      <c r="S4" s="15" t="s">
        <v>23</v>
      </c>
    </row>
    <row r="5" spans="1:19" ht="16">
      <c r="A5" s="26" t="s">
        <v>57</v>
      </c>
      <c r="B5" s="33" t="s">
        <v>366</v>
      </c>
      <c r="C5" s="15">
        <v>1</v>
      </c>
      <c r="D5" s="10" t="s">
        <v>14</v>
      </c>
      <c r="E5" s="10" t="s">
        <v>382</v>
      </c>
      <c r="F5" s="10">
        <v>1.1000000000000001</v>
      </c>
      <c r="G5" s="15" t="s">
        <v>20</v>
      </c>
      <c r="H5" s="59" t="s">
        <v>561</v>
      </c>
      <c r="I5" s="15">
        <v>1.5</v>
      </c>
      <c r="J5" s="10" t="s">
        <v>24</v>
      </c>
      <c r="K5" s="14" t="s">
        <v>380</v>
      </c>
      <c r="L5" s="15">
        <v>2</v>
      </c>
      <c r="M5" s="15" t="s">
        <v>22</v>
      </c>
      <c r="N5" s="58" t="s">
        <v>563</v>
      </c>
      <c r="O5" s="15">
        <v>0.5</v>
      </c>
      <c r="P5" s="9">
        <v>25</v>
      </c>
      <c r="Q5" s="1">
        <v>16</v>
      </c>
      <c r="R5" s="10">
        <v>90</v>
      </c>
      <c r="S5" s="15" t="s">
        <v>25</v>
      </c>
    </row>
    <row r="6" spans="1:19" ht="16">
      <c r="A6" s="26" t="s">
        <v>57</v>
      </c>
      <c r="B6" s="33" t="s">
        <v>366</v>
      </c>
      <c r="C6" s="15">
        <v>1</v>
      </c>
      <c r="D6" s="10" t="s">
        <v>14</v>
      </c>
      <c r="E6" s="10" t="s">
        <v>382</v>
      </c>
      <c r="F6" s="10">
        <v>1.1000000000000001</v>
      </c>
      <c r="G6" s="15" t="s">
        <v>20</v>
      </c>
      <c r="H6" s="59" t="s">
        <v>561</v>
      </c>
      <c r="I6" s="15">
        <v>1.5</v>
      </c>
      <c r="J6" s="10" t="s">
        <v>24</v>
      </c>
      <c r="K6" s="14" t="s">
        <v>380</v>
      </c>
      <c r="L6" s="15">
        <v>2</v>
      </c>
      <c r="M6" s="15" t="s">
        <v>22</v>
      </c>
      <c r="N6" s="58" t="s">
        <v>563</v>
      </c>
      <c r="O6" s="15">
        <v>0.5</v>
      </c>
      <c r="P6" s="9">
        <v>25</v>
      </c>
      <c r="Q6" s="1">
        <v>16</v>
      </c>
      <c r="R6" s="10">
        <v>86</v>
      </c>
      <c r="S6" s="15" t="s">
        <v>26</v>
      </c>
    </row>
    <row r="7" spans="1:19" ht="16">
      <c r="A7" s="10" t="s">
        <v>13</v>
      </c>
      <c r="B7" s="33" t="s">
        <v>365</v>
      </c>
      <c r="C7" s="15">
        <v>1</v>
      </c>
      <c r="D7" s="10" t="s">
        <v>27</v>
      </c>
      <c r="E7" s="19" t="s">
        <v>379</v>
      </c>
      <c r="F7" s="10">
        <v>1.1000000000000001</v>
      </c>
      <c r="G7" s="15" t="s">
        <v>28</v>
      </c>
      <c r="H7" s="14" t="s">
        <v>394</v>
      </c>
      <c r="I7" s="15">
        <v>1.1000000000000001</v>
      </c>
      <c r="J7" s="10" t="s">
        <v>27</v>
      </c>
      <c r="K7" s="14" t="s">
        <v>379</v>
      </c>
      <c r="L7" s="15">
        <v>2</v>
      </c>
      <c r="M7" s="15" t="s">
        <v>22</v>
      </c>
      <c r="N7" s="58" t="s">
        <v>563</v>
      </c>
      <c r="O7" s="15">
        <v>0.42</v>
      </c>
      <c r="P7" s="9">
        <v>25</v>
      </c>
      <c r="Q7" s="1">
        <v>2</v>
      </c>
      <c r="R7" s="10">
        <v>90</v>
      </c>
      <c r="S7" s="15" t="s">
        <v>29</v>
      </c>
    </row>
    <row r="8" spans="1:19" ht="16">
      <c r="A8" s="10" t="s">
        <v>13</v>
      </c>
      <c r="B8" s="33" t="s">
        <v>365</v>
      </c>
      <c r="C8" s="15">
        <v>1</v>
      </c>
      <c r="D8" s="10" t="s">
        <v>27</v>
      </c>
      <c r="E8" s="19" t="s">
        <v>379</v>
      </c>
      <c r="F8" s="10">
        <v>2</v>
      </c>
      <c r="G8" s="15" t="s">
        <v>30</v>
      </c>
      <c r="H8" s="14" t="s">
        <v>391</v>
      </c>
      <c r="I8" s="15">
        <v>1.2</v>
      </c>
      <c r="J8" s="44" t="s">
        <v>196</v>
      </c>
      <c r="K8" s="14" t="s">
        <v>381</v>
      </c>
      <c r="L8" s="15">
        <v>2</v>
      </c>
      <c r="M8" s="15" t="s">
        <v>16</v>
      </c>
      <c r="N8" s="58" t="s">
        <v>562</v>
      </c>
      <c r="O8" s="15">
        <v>0.14000000000000001</v>
      </c>
      <c r="P8" s="9">
        <v>25</v>
      </c>
      <c r="Q8" s="1">
        <v>5</v>
      </c>
      <c r="R8" s="10">
        <v>95</v>
      </c>
      <c r="S8" s="15" t="s">
        <v>31</v>
      </c>
    </row>
    <row r="9" spans="1:19" ht="16">
      <c r="A9" s="10" t="s">
        <v>13</v>
      </c>
      <c r="B9" s="33" t="s">
        <v>365</v>
      </c>
      <c r="C9" s="15">
        <v>1</v>
      </c>
      <c r="D9" s="10" t="s">
        <v>27</v>
      </c>
      <c r="E9" s="19" t="s">
        <v>379</v>
      </c>
      <c r="F9" s="10">
        <v>1.2</v>
      </c>
      <c r="G9" s="15" t="s">
        <v>18</v>
      </c>
      <c r="H9" s="14" t="s">
        <v>393</v>
      </c>
      <c r="I9" s="15">
        <v>1.1000000000000001</v>
      </c>
      <c r="J9" s="10" t="s">
        <v>27</v>
      </c>
      <c r="K9" s="14" t="s">
        <v>379</v>
      </c>
      <c r="L9" s="15">
        <v>2</v>
      </c>
      <c r="M9" s="15" t="s">
        <v>16</v>
      </c>
      <c r="N9" s="58" t="s">
        <v>562</v>
      </c>
      <c r="O9" s="15">
        <v>0.56000000000000005</v>
      </c>
      <c r="P9" s="9">
        <v>25</v>
      </c>
      <c r="Q9" s="1">
        <v>16</v>
      </c>
      <c r="R9" s="10">
        <v>61</v>
      </c>
      <c r="S9" s="15" t="s">
        <v>32</v>
      </c>
    </row>
    <row r="10" spans="1:19" ht="16">
      <c r="A10" s="10" t="s">
        <v>13</v>
      </c>
      <c r="B10" s="33" t="s">
        <v>365</v>
      </c>
      <c r="C10" s="15">
        <v>1</v>
      </c>
      <c r="D10" s="10" t="s">
        <v>27</v>
      </c>
      <c r="E10" s="19" t="s">
        <v>379</v>
      </c>
      <c r="F10" s="10">
        <v>1.2</v>
      </c>
      <c r="G10" s="15" t="s">
        <v>15</v>
      </c>
      <c r="H10" s="15" t="s">
        <v>392</v>
      </c>
      <c r="I10" s="15">
        <v>1.2</v>
      </c>
      <c r="J10" s="44" t="s">
        <v>196</v>
      </c>
      <c r="K10" s="14" t="s">
        <v>381</v>
      </c>
      <c r="L10" s="15">
        <v>1.2</v>
      </c>
      <c r="M10" s="15" t="s">
        <v>16</v>
      </c>
      <c r="N10" s="58" t="s">
        <v>562</v>
      </c>
      <c r="O10" s="15">
        <v>0.5</v>
      </c>
      <c r="P10" s="9">
        <v>21</v>
      </c>
      <c r="Q10" s="1">
        <v>16</v>
      </c>
      <c r="R10" s="10">
        <v>95</v>
      </c>
      <c r="S10" s="15" t="s">
        <v>33</v>
      </c>
    </row>
    <row r="11" spans="1:19" ht="16">
      <c r="A11" s="10" t="s">
        <v>13</v>
      </c>
      <c r="B11" s="33" t="s">
        <v>365</v>
      </c>
      <c r="C11" s="15">
        <v>1</v>
      </c>
      <c r="D11" s="10" t="s">
        <v>27</v>
      </c>
      <c r="E11" s="19" t="s">
        <v>379</v>
      </c>
      <c r="F11" s="10">
        <v>1.1000000000000001</v>
      </c>
      <c r="G11" s="15" t="s">
        <v>34</v>
      </c>
      <c r="H11" s="15" t="s">
        <v>396</v>
      </c>
      <c r="I11" s="15">
        <v>1.3</v>
      </c>
      <c r="J11" s="10" t="s">
        <v>21</v>
      </c>
      <c r="K11" s="14" t="s">
        <v>380</v>
      </c>
      <c r="L11" s="15">
        <v>2.2000000000000002</v>
      </c>
      <c r="M11" s="15" t="s">
        <v>16</v>
      </c>
      <c r="N11" s="58" t="s">
        <v>562</v>
      </c>
      <c r="O11" s="15">
        <v>0.36</v>
      </c>
      <c r="P11" s="9">
        <v>25</v>
      </c>
      <c r="Q11" s="1">
        <v>6</v>
      </c>
      <c r="R11" s="10">
        <v>90</v>
      </c>
      <c r="S11" s="15" t="s">
        <v>35</v>
      </c>
    </row>
    <row r="12" spans="1:19" ht="16">
      <c r="A12" s="10" t="s">
        <v>36</v>
      </c>
      <c r="B12" s="33" t="s">
        <v>367</v>
      </c>
      <c r="C12" s="15">
        <v>1</v>
      </c>
      <c r="D12" s="10" t="s">
        <v>27</v>
      </c>
      <c r="E12" s="19" t="s">
        <v>379</v>
      </c>
      <c r="F12" s="10">
        <v>1.36</v>
      </c>
      <c r="G12" s="15" t="s">
        <v>15</v>
      </c>
      <c r="H12" s="15" t="s">
        <v>392</v>
      </c>
      <c r="I12" s="15">
        <v>1.2</v>
      </c>
      <c r="J12" s="10" t="s">
        <v>21</v>
      </c>
      <c r="K12" s="14" t="s">
        <v>380</v>
      </c>
      <c r="L12" s="15">
        <v>1.36</v>
      </c>
      <c r="M12" s="15" t="s">
        <v>22</v>
      </c>
      <c r="N12" s="58" t="s">
        <v>563</v>
      </c>
      <c r="O12" s="15">
        <v>0.4</v>
      </c>
      <c r="P12" s="9">
        <v>25</v>
      </c>
      <c r="Q12" s="1">
        <v>16</v>
      </c>
      <c r="R12" s="10">
        <v>95</v>
      </c>
      <c r="S12" s="15" t="s">
        <v>37</v>
      </c>
    </row>
    <row r="13" spans="1:19" ht="16">
      <c r="A13" s="10" t="s">
        <v>36</v>
      </c>
      <c r="B13" s="33" t="s">
        <v>367</v>
      </c>
      <c r="C13" s="15">
        <v>1</v>
      </c>
      <c r="D13" s="10" t="s">
        <v>27</v>
      </c>
      <c r="E13" s="19" t="s">
        <v>379</v>
      </c>
      <c r="F13" s="10">
        <v>1.2</v>
      </c>
      <c r="G13" s="15" t="s">
        <v>38</v>
      </c>
      <c r="H13" s="33" t="s">
        <v>398</v>
      </c>
      <c r="I13" s="15">
        <v>1.2</v>
      </c>
      <c r="J13" s="10" t="s">
        <v>27</v>
      </c>
      <c r="K13" s="14" t="s">
        <v>379</v>
      </c>
      <c r="L13" s="15">
        <v>2</v>
      </c>
      <c r="M13" s="15" t="s">
        <v>16</v>
      </c>
      <c r="N13" s="58" t="s">
        <v>562</v>
      </c>
      <c r="O13" s="15">
        <v>0.25</v>
      </c>
      <c r="P13" s="9">
        <v>25</v>
      </c>
      <c r="Q13" s="1">
        <v>5</v>
      </c>
      <c r="R13" s="10">
        <v>91</v>
      </c>
      <c r="S13" s="15" t="s">
        <v>39</v>
      </c>
    </row>
    <row r="14" spans="1:19" ht="16">
      <c r="A14" s="10" t="s">
        <v>36</v>
      </c>
      <c r="B14" s="33" t="s">
        <v>367</v>
      </c>
      <c r="C14" s="15">
        <v>1</v>
      </c>
      <c r="D14" s="10" t="s">
        <v>27</v>
      </c>
      <c r="E14" s="19" t="s">
        <v>379</v>
      </c>
      <c r="F14" s="10">
        <v>2</v>
      </c>
      <c r="G14" s="15" t="s">
        <v>18</v>
      </c>
      <c r="H14" s="14" t="s">
        <v>393</v>
      </c>
      <c r="I14" s="15">
        <v>1</v>
      </c>
      <c r="J14" s="10" t="s">
        <v>27</v>
      </c>
      <c r="K14" s="14" t="s">
        <v>379</v>
      </c>
      <c r="L14" s="15">
        <v>2</v>
      </c>
      <c r="M14" s="15" t="s">
        <v>40</v>
      </c>
      <c r="N14" s="14" t="s">
        <v>423</v>
      </c>
      <c r="O14" s="15">
        <v>0.5</v>
      </c>
      <c r="P14" s="9">
        <v>25</v>
      </c>
      <c r="Q14" s="1">
        <v>16</v>
      </c>
      <c r="R14" s="10">
        <v>98</v>
      </c>
      <c r="S14" s="15" t="s">
        <v>41</v>
      </c>
    </row>
    <row r="15" spans="1:19" ht="16">
      <c r="A15" s="10" t="s">
        <v>36</v>
      </c>
      <c r="B15" s="33" t="s">
        <v>367</v>
      </c>
      <c r="C15" s="15">
        <v>1</v>
      </c>
      <c r="D15" s="10" t="s">
        <v>27</v>
      </c>
      <c r="E15" s="19" t="s">
        <v>379</v>
      </c>
      <c r="F15" s="10">
        <v>2</v>
      </c>
      <c r="G15" s="15" t="s">
        <v>15</v>
      </c>
      <c r="H15" s="15" t="s">
        <v>392</v>
      </c>
      <c r="I15" s="15">
        <v>1.1000000000000001</v>
      </c>
      <c r="J15" s="10" t="s">
        <v>27</v>
      </c>
      <c r="K15" s="14" t="s">
        <v>379</v>
      </c>
      <c r="L15" s="15">
        <v>2</v>
      </c>
      <c r="M15" s="15" t="s">
        <v>16</v>
      </c>
      <c r="N15" s="58" t="s">
        <v>562</v>
      </c>
      <c r="O15" s="15">
        <v>0.5</v>
      </c>
      <c r="P15" s="9">
        <v>25</v>
      </c>
      <c r="Q15" s="1">
        <v>24</v>
      </c>
      <c r="R15" s="10">
        <v>64</v>
      </c>
      <c r="S15" s="15" t="s">
        <v>42</v>
      </c>
    </row>
    <row r="16" spans="1:19" ht="16">
      <c r="A16" s="10" t="s">
        <v>36</v>
      </c>
      <c r="B16" s="33" t="s">
        <v>367</v>
      </c>
      <c r="C16" s="15">
        <v>1</v>
      </c>
      <c r="D16" s="10" t="s">
        <v>27</v>
      </c>
      <c r="E16" s="19" t="s">
        <v>379</v>
      </c>
      <c r="F16" s="10">
        <v>2</v>
      </c>
      <c r="G16" s="15" t="s">
        <v>15</v>
      </c>
      <c r="H16" s="15" t="s">
        <v>392</v>
      </c>
      <c r="I16" s="15">
        <v>1.1000000000000001</v>
      </c>
      <c r="J16" s="10" t="s">
        <v>27</v>
      </c>
      <c r="K16" s="14" t="s">
        <v>379</v>
      </c>
      <c r="L16" s="15">
        <v>2</v>
      </c>
      <c r="M16" s="15" t="s">
        <v>16</v>
      </c>
      <c r="N16" s="58" t="s">
        <v>562</v>
      </c>
      <c r="O16" s="15">
        <v>0.06</v>
      </c>
      <c r="P16" s="9">
        <v>25</v>
      </c>
      <c r="Q16" s="1">
        <v>24</v>
      </c>
      <c r="R16" s="10">
        <v>64</v>
      </c>
      <c r="S16" s="15" t="s">
        <v>43</v>
      </c>
    </row>
    <row r="17" spans="1:19" ht="16">
      <c r="A17" s="10" t="s">
        <v>44</v>
      </c>
      <c r="B17" s="33" t="s">
        <v>368</v>
      </c>
      <c r="C17" s="15">
        <v>1</v>
      </c>
      <c r="D17" s="10" t="s">
        <v>27</v>
      </c>
      <c r="E17" s="19" t="s">
        <v>379</v>
      </c>
      <c r="F17" s="10">
        <v>2</v>
      </c>
      <c r="G17" s="15" t="s">
        <v>30</v>
      </c>
      <c r="H17" s="14" t="s">
        <v>391</v>
      </c>
      <c r="I17" s="15">
        <v>1.2</v>
      </c>
      <c r="J17" s="44" t="s">
        <v>196</v>
      </c>
      <c r="K17" s="14" t="s">
        <v>381</v>
      </c>
      <c r="L17" s="15">
        <v>2</v>
      </c>
      <c r="M17" s="15" t="s">
        <v>16</v>
      </c>
      <c r="N17" s="58" t="s">
        <v>562</v>
      </c>
      <c r="O17" s="15">
        <v>0.15</v>
      </c>
      <c r="P17" s="9">
        <v>25</v>
      </c>
      <c r="Q17" s="1">
        <v>5</v>
      </c>
      <c r="R17" s="10">
        <v>95</v>
      </c>
      <c r="S17" s="15" t="s">
        <v>31</v>
      </c>
    </row>
    <row r="18" spans="1:19" ht="16">
      <c r="A18" s="10" t="s">
        <v>44</v>
      </c>
      <c r="B18" s="33" t="s">
        <v>368</v>
      </c>
      <c r="C18" s="15">
        <v>1</v>
      </c>
      <c r="D18" s="10" t="s">
        <v>27</v>
      </c>
      <c r="E18" s="19" t="s">
        <v>379</v>
      </c>
      <c r="F18" s="10">
        <v>2</v>
      </c>
      <c r="G18" s="15" t="s">
        <v>18</v>
      </c>
      <c r="H18" s="14" t="s">
        <v>393</v>
      </c>
      <c r="I18" s="15">
        <v>1.1000000000000001</v>
      </c>
      <c r="J18" s="10" t="s">
        <v>27</v>
      </c>
      <c r="K18" s="14" t="s">
        <v>379</v>
      </c>
      <c r="L18" s="15">
        <v>2</v>
      </c>
      <c r="M18" s="15" t="s">
        <v>16</v>
      </c>
      <c r="N18" s="58" t="s">
        <v>562</v>
      </c>
      <c r="O18" s="15">
        <v>0.19</v>
      </c>
      <c r="P18" s="9">
        <v>25</v>
      </c>
      <c r="Q18" s="1">
        <v>18</v>
      </c>
      <c r="R18" s="10">
        <v>89</v>
      </c>
      <c r="S18" s="15" t="s">
        <v>45</v>
      </c>
    </row>
    <row r="19" spans="1:19" ht="16">
      <c r="A19" s="10" t="s">
        <v>44</v>
      </c>
      <c r="B19" s="33" t="s">
        <v>368</v>
      </c>
      <c r="C19" s="15">
        <v>1</v>
      </c>
      <c r="D19" s="10" t="s">
        <v>27</v>
      </c>
      <c r="E19" s="19" t="s">
        <v>379</v>
      </c>
      <c r="F19" s="10">
        <v>2.1</v>
      </c>
      <c r="G19" s="15" t="s">
        <v>18</v>
      </c>
      <c r="H19" s="14" t="s">
        <v>393</v>
      </c>
      <c r="I19" s="15">
        <v>1.1000000000000001</v>
      </c>
      <c r="J19" s="10" t="s">
        <v>27</v>
      </c>
      <c r="K19" s="14" t="s">
        <v>379</v>
      </c>
      <c r="L19" s="15">
        <v>2</v>
      </c>
      <c r="M19" s="15" t="s">
        <v>16</v>
      </c>
      <c r="N19" s="58" t="s">
        <v>562</v>
      </c>
      <c r="O19" s="15">
        <v>0.2</v>
      </c>
      <c r="P19" s="9">
        <v>25</v>
      </c>
      <c r="Q19" s="1">
        <v>24</v>
      </c>
      <c r="R19" s="10">
        <v>82</v>
      </c>
      <c r="S19" s="15" t="s">
        <v>46</v>
      </c>
    </row>
    <row r="20" spans="1:19" ht="16">
      <c r="A20" s="10" t="s">
        <v>44</v>
      </c>
      <c r="B20" s="33" t="s">
        <v>368</v>
      </c>
      <c r="C20" s="15">
        <v>1.3</v>
      </c>
      <c r="D20" s="10" t="s">
        <v>27</v>
      </c>
      <c r="E20" s="19" t="s">
        <v>379</v>
      </c>
      <c r="F20" s="10">
        <v>1</v>
      </c>
      <c r="G20" s="15" t="s">
        <v>47</v>
      </c>
      <c r="H20" s="59" t="s">
        <v>561</v>
      </c>
      <c r="I20" s="15">
        <v>1.3</v>
      </c>
      <c r="J20" s="44" t="s">
        <v>196</v>
      </c>
      <c r="K20" s="14" t="s">
        <v>381</v>
      </c>
      <c r="L20" s="15">
        <v>4</v>
      </c>
      <c r="M20" s="15" t="s">
        <v>48</v>
      </c>
      <c r="N20" s="15" t="s">
        <v>425</v>
      </c>
      <c r="O20" s="15">
        <v>0.5</v>
      </c>
      <c r="P20" s="9">
        <v>25</v>
      </c>
      <c r="Q20" s="1">
        <v>16</v>
      </c>
      <c r="R20" s="10">
        <v>86</v>
      </c>
      <c r="S20" s="15" t="s">
        <v>49</v>
      </c>
    </row>
    <row r="21" spans="1:19" ht="16">
      <c r="A21" s="10" t="s">
        <v>44</v>
      </c>
      <c r="B21" s="33" t="s">
        <v>368</v>
      </c>
      <c r="C21" s="15">
        <v>1</v>
      </c>
      <c r="D21" s="10" t="s">
        <v>27</v>
      </c>
      <c r="E21" s="19" t="s">
        <v>379</v>
      </c>
      <c r="F21" s="10">
        <v>2.5</v>
      </c>
      <c r="G21" s="15" t="s">
        <v>15</v>
      </c>
      <c r="H21" s="15" t="s">
        <v>392</v>
      </c>
      <c r="I21" s="15">
        <v>1.2</v>
      </c>
      <c r="J21" s="10" t="s">
        <v>27</v>
      </c>
      <c r="K21" s="14" t="s">
        <v>379</v>
      </c>
      <c r="L21" s="15">
        <v>2</v>
      </c>
      <c r="M21" s="15" t="s">
        <v>16</v>
      </c>
      <c r="N21" s="58" t="s">
        <v>562</v>
      </c>
      <c r="O21" s="15">
        <v>0.22</v>
      </c>
      <c r="P21" s="9">
        <v>11</v>
      </c>
      <c r="Q21" s="1">
        <v>16</v>
      </c>
      <c r="R21" s="10">
        <v>100</v>
      </c>
      <c r="S21" s="15" t="s">
        <v>50</v>
      </c>
    </row>
    <row r="22" spans="1:19" ht="16">
      <c r="A22" s="10" t="s">
        <v>36</v>
      </c>
      <c r="B22" s="33" t="s">
        <v>367</v>
      </c>
      <c r="C22" s="15">
        <v>1</v>
      </c>
      <c r="D22" s="10" t="s">
        <v>14</v>
      </c>
      <c r="E22" s="10" t="s">
        <v>382</v>
      </c>
      <c r="F22" s="10">
        <v>1.5</v>
      </c>
      <c r="G22" s="15" t="s">
        <v>15</v>
      </c>
      <c r="H22" s="15" t="s">
        <v>392</v>
      </c>
      <c r="I22" s="15">
        <v>1.1000000000000001</v>
      </c>
      <c r="J22" s="10" t="s">
        <v>24</v>
      </c>
      <c r="K22" s="14" t="s">
        <v>380</v>
      </c>
      <c r="L22" s="15">
        <v>1.5</v>
      </c>
      <c r="M22" s="15" t="s">
        <v>22</v>
      </c>
      <c r="N22" s="58" t="s">
        <v>563</v>
      </c>
      <c r="O22" s="15">
        <v>0.4</v>
      </c>
      <c r="P22" s="9">
        <v>25</v>
      </c>
      <c r="Q22" s="1">
        <v>16</v>
      </c>
      <c r="R22" s="10">
        <v>100</v>
      </c>
      <c r="S22" s="15" t="s">
        <v>37</v>
      </c>
    </row>
    <row r="23" spans="1:19" ht="16">
      <c r="A23" s="10" t="s">
        <v>36</v>
      </c>
      <c r="B23" s="33" t="s">
        <v>367</v>
      </c>
      <c r="C23" s="15">
        <v>1</v>
      </c>
      <c r="D23" s="10" t="s">
        <v>14</v>
      </c>
      <c r="E23" s="10" t="s">
        <v>382</v>
      </c>
      <c r="F23" s="10">
        <v>1.2</v>
      </c>
      <c r="G23" s="15" t="s">
        <v>15</v>
      </c>
      <c r="H23" s="15" t="s">
        <v>392</v>
      </c>
      <c r="I23" s="15">
        <v>1.2</v>
      </c>
      <c r="J23" s="10" t="s">
        <v>51</v>
      </c>
      <c r="K23" s="15" t="s">
        <v>383</v>
      </c>
      <c r="L23" s="15">
        <v>2.2000000000000002</v>
      </c>
      <c r="M23" s="15" t="s">
        <v>40</v>
      </c>
      <c r="N23" s="14" t="s">
        <v>423</v>
      </c>
      <c r="O23" s="15">
        <v>0.5</v>
      </c>
      <c r="P23" s="9">
        <v>25</v>
      </c>
      <c r="Q23" s="1">
        <v>24</v>
      </c>
      <c r="R23" s="10">
        <v>90</v>
      </c>
      <c r="S23" s="15" t="s">
        <v>52</v>
      </c>
    </row>
    <row r="24" spans="1:19" ht="16">
      <c r="A24" s="10" t="s">
        <v>36</v>
      </c>
      <c r="B24" s="33" t="s">
        <v>367</v>
      </c>
      <c r="C24" s="15">
        <v>1</v>
      </c>
      <c r="D24" s="10" t="s">
        <v>14</v>
      </c>
      <c r="E24" s="10" t="s">
        <v>382</v>
      </c>
      <c r="F24" s="10">
        <v>1</v>
      </c>
      <c r="G24" s="15" t="s">
        <v>53</v>
      </c>
      <c r="H24" s="15" t="s">
        <v>401</v>
      </c>
      <c r="I24" s="15">
        <v>1</v>
      </c>
      <c r="J24" s="10" t="s">
        <v>51</v>
      </c>
      <c r="K24" s="15" t="s">
        <v>383</v>
      </c>
      <c r="L24" s="15">
        <v>1.1000000000000001</v>
      </c>
      <c r="M24" s="15" t="s">
        <v>40</v>
      </c>
      <c r="N24" s="14" t="s">
        <v>423</v>
      </c>
      <c r="O24" s="15">
        <v>0.2</v>
      </c>
      <c r="P24" s="9">
        <v>25</v>
      </c>
      <c r="Q24" s="1">
        <v>3</v>
      </c>
      <c r="R24" s="10">
        <v>95</v>
      </c>
      <c r="S24" s="15" t="s">
        <v>54</v>
      </c>
    </row>
    <row r="25" spans="1:19" ht="16">
      <c r="A25" s="10" t="s">
        <v>36</v>
      </c>
      <c r="B25" s="33" t="s">
        <v>367</v>
      </c>
      <c r="C25" s="15">
        <v>1</v>
      </c>
      <c r="D25" s="10" t="s">
        <v>55</v>
      </c>
      <c r="E25" s="10" t="s">
        <v>459</v>
      </c>
      <c r="F25" s="10">
        <v>1</v>
      </c>
      <c r="G25" s="15" t="s">
        <v>15</v>
      </c>
      <c r="H25" s="15" t="s">
        <v>392</v>
      </c>
      <c r="I25" s="15">
        <v>1.2</v>
      </c>
      <c r="J25" s="44" t="s">
        <v>196</v>
      </c>
      <c r="K25" s="14" t="s">
        <v>381</v>
      </c>
      <c r="L25" s="15">
        <v>1.2</v>
      </c>
      <c r="M25" s="15" t="s">
        <v>16</v>
      </c>
      <c r="N25" s="58" t="s">
        <v>562</v>
      </c>
      <c r="O25" s="15">
        <v>0.2</v>
      </c>
      <c r="P25" s="9">
        <v>25</v>
      </c>
      <c r="Q25" s="1">
        <v>16</v>
      </c>
      <c r="R25" s="10">
        <v>74</v>
      </c>
      <c r="S25" s="15" t="s">
        <v>56</v>
      </c>
    </row>
    <row r="26" spans="1:19" ht="16">
      <c r="A26" s="10" t="s">
        <v>57</v>
      </c>
      <c r="B26" s="33" t="s">
        <v>366</v>
      </c>
      <c r="C26" s="15">
        <v>1</v>
      </c>
      <c r="D26" s="10" t="s">
        <v>58</v>
      </c>
      <c r="E26" s="10" t="s">
        <v>458</v>
      </c>
      <c r="F26" s="10">
        <v>1.1000000000000001</v>
      </c>
      <c r="G26" s="15" t="s">
        <v>59</v>
      </c>
      <c r="H26" s="14" t="s">
        <v>390</v>
      </c>
      <c r="I26" s="15">
        <v>1.1000000000000001</v>
      </c>
      <c r="J26" s="10" t="s">
        <v>21</v>
      </c>
      <c r="K26" s="14" t="s">
        <v>380</v>
      </c>
      <c r="L26" s="15">
        <v>2.25</v>
      </c>
      <c r="M26" s="15" t="s">
        <v>22</v>
      </c>
      <c r="N26" s="58" t="s">
        <v>563</v>
      </c>
      <c r="O26" s="15">
        <v>0.3</v>
      </c>
      <c r="P26" s="9">
        <v>25</v>
      </c>
      <c r="Q26" s="1">
        <v>18</v>
      </c>
      <c r="R26" s="10">
        <v>80</v>
      </c>
      <c r="S26" s="15" t="s">
        <v>60</v>
      </c>
    </row>
    <row r="27" spans="1:19" ht="16">
      <c r="A27" s="10" t="s">
        <v>57</v>
      </c>
      <c r="B27" s="33" t="s">
        <v>366</v>
      </c>
      <c r="C27" s="15">
        <v>1</v>
      </c>
      <c r="D27" s="10" t="s">
        <v>58</v>
      </c>
      <c r="E27" s="10" t="s">
        <v>458</v>
      </c>
      <c r="F27" s="10">
        <v>1.5</v>
      </c>
      <c r="G27" s="15" t="s">
        <v>59</v>
      </c>
      <c r="H27" s="14" t="s">
        <v>390</v>
      </c>
      <c r="I27" s="15">
        <v>1.1000000000000001</v>
      </c>
      <c r="J27" s="10" t="s">
        <v>21</v>
      </c>
      <c r="K27" s="14" t="s">
        <v>380</v>
      </c>
      <c r="L27" s="15">
        <v>3</v>
      </c>
      <c r="M27" s="15" t="s">
        <v>22</v>
      </c>
      <c r="N27" s="58" t="s">
        <v>563</v>
      </c>
      <c r="O27" s="15">
        <v>0.3</v>
      </c>
      <c r="P27" s="9">
        <v>25</v>
      </c>
      <c r="Q27" s="1">
        <v>16</v>
      </c>
      <c r="R27" s="10">
        <v>88</v>
      </c>
      <c r="S27" s="15" t="s">
        <v>61</v>
      </c>
    </row>
    <row r="28" spans="1:19" ht="16">
      <c r="A28" s="10" t="s">
        <v>57</v>
      </c>
      <c r="B28" s="33" t="s">
        <v>366</v>
      </c>
      <c r="C28" s="15">
        <v>1</v>
      </c>
      <c r="D28" s="10" t="s">
        <v>58</v>
      </c>
      <c r="E28" s="10" t="s">
        <v>458</v>
      </c>
      <c r="F28" s="10">
        <v>1.5</v>
      </c>
      <c r="G28" s="15" t="s">
        <v>47</v>
      </c>
      <c r="H28" s="59" t="s">
        <v>561</v>
      </c>
      <c r="I28" s="15">
        <v>1.2</v>
      </c>
      <c r="J28" s="10" t="s">
        <v>21</v>
      </c>
      <c r="K28" s="14" t="s">
        <v>380</v>
      </c>
      <c r="L28" s="15">
        <v>2.5</v>
      </c>
      <c r="M28" s="15" t="s">
        <v>22</v>
      </c>
      <c r="N28" s="58" t="s">
        <v>563</v>
      </c>
      <c r="O28" s="15">
        <v>0.4</v>
      </c>
      <c r="P28" s="9">
        <v>25</v>
      </c>
      <c r="Q28" s="1">
        <v>18</v>
      </c>
      <c r="R28" s="10">
        <v>91</v>
      </c>
      <c r="S28" s="15" t="s">
        <v>62</v>
      </c>
    </row>
    <row r="29" spans="1:19" ht="16">
      <c r="A29" s="10" t="s">
        <v>57</v>
      </c>
      <c r="B29" s="33" t="s">
        <v>366</v>
      </c>
      <c r="C29" s="15">
        <v>1</v>
      </c>
      <c r="D29" s="10" t="s">
        <v>58</v>
      </c>
      <c r="E29" s="10" t="s">
        <v>458</v>
      </c>
      <c r="F29" s="10">
        <v>1.1000000000000001</v>
      </c>
      <c r="G29" s="15" t="s">
        <v>59</v>
      </c>
      <c r="H29" s="14" t="s">
        <v>390</v>
      </c>
      <c r="I29" s="15">
        <v>1.2</v>
      </c>
      <c r="J29" s="10" t="s">
        <v>21</v>
      </c>
      <c r="K29" s="14" t="s">
        <v>380</v>
      </c>
      <c r="L29" s="15">
        <v>2.25</v>
      </c>
      <c r="M29" s="15" t="s">
        <v>63</v>
      </c>
      <c r="N29" s="15" t="s">
        <v>564</v>
      </c>
      <c r="O29" s="15">
        <v>0.4</v>
      </c>
      <c r="P29" s="9">
        <v>25</v>
      </c>
      <c r="Q29" s="1">
        <v>15</v>
      </c>
      <c r="R29" s="10">
        <v>93</v>
      </c>
      <c r="S29" s="15" t="s">
        <v>64</v>
      </c>
    </row>
    <row r="30" spans="1:19" ht="16">
      <c r="A30" s="10" t="s">
        <v>57</v>
      </c>
      <c r="B30" s="33" t="s">
        <v>366</v>
      </c>
      <c r="C30" s="15">
        <v>1</v>
      </c>
      <c r="D30" s="10" t="s">
        <v>65</v>
      </c>
      <c r="E30" s="10" t="s">
        <v>460</v>
      </c>
      <c r="F30" s="10">
        <v>1.2</v>
      </c>
      <c r="G30" s="15" t="s">
        <v>59</v>
      </c>
      <c r="H30" s="14" t="s">
        <v>390</v>
      </c>
      <c r="I30" s="15">
        <v>2</v>
      </c>
      <c r="J30" s="10" t="s">
        <v>21</v>
      </c>
      <c r="K30" s="14" t="s">
        <v>380</v>
      </c>
      <c r="L30" s="15">
        <v>5</v>
      </c>
      <c r="M30" s="15" t="s">
        <v>22</v>
      </c>
      <c r="N30" s="58" t="s">
        <v>563</v>
      </c>
      <c r="O30" s="15">
        <v>0.5</v>
      </c>
      <c r="P30" s="9">
        <v>20</v>
      </c>
      <c r="Q30" s="1">
        <v>12</v>
      </c>
      <c r="R30" s="10">
        <v>92</v>
      </c>
      <c r="S30" s="15" t="s">
        <v>66</v>
      </c>
    </row>
    <row r="31" spans="1:19" ht="16">
      <c r="A31" s="10" t="s">
        <v>57</v>
      </c>
      <c r="B31" s="33" t="s">
        <v>366</v>
      </c>
      <c r="C31" s="15">
        <v>1</v>
      </c>
      <c r="D31" s="10" t="s">
        <v>67</v>
      </c>
      <c r="E31" s="10" t="s">
        <v>461</v>
      </c>
      <c r="F31" s="10">
        <v>1.18</v>
      </c>
      <c r="G31" s="15" t="s">
        <v>68</v>
      </c>
      <c r="H31" s="15" t="s">
        <v>397</v>
      </c>
      <c r="I31" s="15">
        <v>1.19</v>
      </c>
      <c r="J31" s="10" t="s">
        <v>69</v>
      </c>
      <c r="K31" s="15" t="s">
        <v>383</v>
      </c>
      <c r="L31" s="15">
        <v>3</v>
      </c>
      <c r="M31" s="15" t="s">
        <v>70</v>
      </c>
      <c r="N31" s="14" t="s">
        <v>565</v>
      </c>
      <c r="O31" s="15">
        <v>0.3</v>
      </c>
      <c r="P31" s="9">
        <v>25</v>
      </c>
      <c r="Q31" s="1">
        <v>24</v>
      </c>
      <c r="R31" s="10">
        <v>96</v>
      </c>
      <c r="S31" s="15" t="s">
        <v>71</v>
      </c>
    </row>
    <row r="32" spans="1:19" ht="16">
      <c r="A32" s="10" t="s">
        <v>57</v>
      </c>
      <c r="B32" s="33" t="s">
        <v>366</v>
      </c>
      <c r="C32" s="15">
        <v>1</v>
      </c>
      <c r="D32" s="10" t="s">
        <v>72</v>
      </c>
      <c r="E32" s="10" t="s">
        <v>386</v>
      </c>
      <c r="F32" s="10">
        <v>1</v>
      </c>
      <c r="G32" s="15" t="s">
        <v>59</v>
      </c>
      <c r="H32" s="14" t="s">
        <v>390</v>
      </c>
      <c r="I32" s="15">
        <v>1.1000000000000001</v>
      </c>
      <c r="J32" s="10" t="s">
        <v>69</v>
      </c>
      <c r="K32" s="15" t="s">
        <v>383</v>
      </c>
      <c r="L32" s="15">
        <v>2.2000000000000002</v>
      </c>
      <c r="M32" s="15" t="s">
        <v>16</v>
      </c>
      <c r="N32" s="58" t="s">
        <v>562</v>
      </c>
      <c r="O32" s="15">
        <v>0.55000000000000004</v>
      </c>
      <c r="P32" s="9">
        <v>25</v>
      </c>
      <c r="Q32" s="1">
        <v>18</v>
      </c>
      <c r="R32" s="10">
        <v>91</v>
      </c>
      <c r="S32" s="15" t="s">
        <v>73</v>
      </c>
    </row>
    <row r="33" spans="1:19" ht="16">
      <c r="A33" s="10" t="s">
        <v>57</v>
      </c>
      <c r="B33" s="33" t="s">
        <v>366</v>
      </c>
      <c r="C33" s="15">
        <v>1</v>
      </c>
      <c r="D33" s="10" t="s">
        <v>72</v>
      </c>
      <c r="E33" s="10" t="s">
        <v>386</v>
      </c>
      <c r="F33" s="10">
        <v>1.1000000000000001</v>
      </c>
      <c r="G33" s="15" t="s">
        <v>59</v>
      </c>
      <c r="H33" s="14" t="s">
        <v>390</v>
      </c>
      <c r="I33" s="15">
        <v>1.1000000000000001</v>
      </c>
      <c r="J33" s="10" t="s">
        <v>21</v>
      </c>
      <c r="K33" s="14" t="s">
        <v>380</v>
      </c>
      <c r="L33" s="15">
        <v>1</v>
      </c>
      <c r="M33" s="15" t="s">
        <v>22</v>
      </c>
      <c r="N33" s="58" t="s">
        <v>563</v>
      </c>
      <c r="O33" s="15">
        <v>0.6</v>
      </c>
      <c r="P33" s="9">
        <v>25</v>
      </c>
      <c r="Q33" s="1">
        <v>18</v>
      </c>
      <c r="R33" s="10">
        <v>90</v>
      </c>
      <c r="S33" s="15" t="s">
        <v>74</v>
      </c>
    </row>
    <row r="34" spans="1:19" ht="16">
      <c r="A34" s="10" t="s">
        <v>57</v>
      </c>
      <c r="B34" s="33" t="s">
        <v>366</v>
      </c>
      <c r="C34" s="15">
        <v>1</v>
      </c>
      <c r="D34" s="10" t="s">
        <v>72</v>
      </c>
      <c r="E34" s="10" t="s">
        <v>386</v>
      </c>
      <c r="F34" s="10">
        <v>1</v>
      </c>
      <c r="G34" s="15" t="s">
        <v>59</v>
      </c>
      <c r="H34" s="14" t="s">
        <v>390</v>
      </c>
      <c r="I34" s="15">
        <v>1.05</v>
      </c>
      <c r="J34" s="10" t="s">
        <v>69</v>
      </c>
      <c r="K34" s="15" t="s">
        <v>383</v>
      </c>
      <c r="L34" s="15">
        <v>2.71</v>
      </c>
      <c r="M34" s="15" t="s">
        <v>75</v>
      </c>
      <c r="N34" s="15" t="s">
        <v>424</v>
      </c>
      <c r="O34" s="15">
        <v>0.4</v>
      </c>
      <c r="P34" s="9">
        <v>25</v>
      </c>
      <c r="Q34" s="1">
        <v>18</v>
      </c>
      <c r="R34" s="10">
        <v>97</v>
      </c>
      <c r="S34" s="15" t="s">
        <v>76</v>
      </c>
    </row>
    <row r="35" spans="1:19" ht="16">
      <c r="A35" s="10" t="s">
        <v>57</v>
      </c>
      <c r="B35" s="33" t="s">
        <v>366</v>
      </c>
      <c r="C35" s="15">
        <v>1</v>
      </c>
      <c r="D35" s="10" t="s">
        <v>72</v>
      </c>
      <c r="E35" s="10" t="s">
        <v>386</v>
      </c>
      <c r="F35" s="10">
        <v>1</v>
      </c>
      <c r="G35" s="15" t="s">
        <v>77</v>
      </c>
      <c r="H35" s="14" t="s">
        <v>391</v>
      </c>
      <c r="I35" s="15">
        <v>1.05</v>
      </c>
      <c r="J35" s="10" t="s">
        <v>21</v>
      </c>
      <c r="K35" s="14" t="s">
        <v>380</v>
      </c>
      <c r="L35" s="15">
        <v>3.5</v>
      </c>
      <c r="M35" s="15" t="s">
        <v>22</v>
      </c>
      <c r="N35" s="58" t="s">
        <v>563</v>
      </c>
      <c r="O35" s="15">
        <v>0.3</v>
      </c>
      <c r="P35" s="9">
        <v>25</v>
      </c>
      <c r="Q35" s="1">
        <v>18</v>
      </c>
      <c r="R35" s="10">
        <v>100</v>
      </c>
      <c r="S35" s="15" t="s">
        <v>78</v>
      </c>
    </row>
    <row r="36" spans="1:19" ht="16">
      <c r="A36" s="10" t="s">
        <v>57</v>
      </c>
      <c r="B36" s="33" t="s">
        <v>366</v>
      </c>
      <c r="C36" s="15">
        <v>1</v>
      </c>
      <c r="D36" s="10" t="s">
        <v>72</v>
      </c>
      <c r="E36" s="10" t="s">
        <v>386</v>
      </c>
      <c r="F36" s="10">
        <v>1</v>
      </c>
      <c r="G36" s="15" t="s">
        <v>77</v>
      </c>
      <c r="H36" s="14" t="s">
        <v>391</v>
      </c>
      <c r="I36" s="15">
        <v>1.5</v>
      </c>
      <c r="J36" s="10" t="s">
        <v>21</v>
      </c>
      <c r="K36" s="14" t="s">
        <v>380</v>
      </c>
      <c r="L36" s="15">
        <v>5</v>
      </c>
      <c r="M36" s="15" t="s">
        <v>16</v>
      </c>
      <c r="N36" s="58" t="s">
        <v>562</v>
      </c>
      <c r="O36" s="15">
        <v>0.4</v>
      </c>
      <c r="P36" s="9">
        <v>25</v>
      </c>
      <c r="Q36" s="1">
        <v>16</v>
      </c>
      <c r="R36" s="10">
        <v>99</v>
      </c>
      <c r="S36" s="15" t="s">
        <v>79</v>
      </c>
    </row>
    <row r="37" spans="1:19" ht="16">
      <c r="A37" s="10" t="s">
        <v>57</v>
      </c>
      <c r="B37" s="33" t="s">
        <v>366</v>
      </c>
      <c r="C37" s="15">
        <v>1</v>
      </c>
      <c r="D37" s="10" t="s">
        <v>72</v>
      </c>
      <c r="E37" s="10" t="s">
        <v>386</v>
      </c>
      <c r="F37" s="10">
        <v>1</v>
      </c>
      <c r="G37" s="15" t="s">
        <v>77</v>
      </c>
      <c r="H37" s="14" t="s">
        <v>391</v>
      </c>
      <c r="I37" s="15">
        <v>1.5</v>
      </c>
      <c r="J37" s="10" t="s">
        <v>21</v>
      </c>
      <c r="K37" s="14" t="s">
        <v>380</v>
      </c>
      <c r="L37" s="15">
        <v>5</v>
      </c>
      <c r="M37" s="15" t="s">
        <v>16</v>
      </c>
      <c r="N37" s="58" t="s">
        <v>562</v>
      </c>
      <c r="O37" s="15">
        <v>0.7</v>
      </c>
      <c r="P37" s="9">
        <v>25</v>
      </c>
      <c r="Q37" s="1">
        <v>15</v>
      </c>
      <c r="R37" s="10">
        <v>99</v>
      </c>
      <c r="S37" s="15" t="s">
        <v>80</v>
      </c>
    </row>
    <row r="38" spans="1:19" ht="16">
      <c r="A38" s="10" t="s">
        <v>57</v>
      </c>
      <c r="B38" s="33" t="s">
        <v>366</v>
      </c>
      <c r="C38" s="15">
        <v>1</v>
      </c>
      <c r="D38" s="10" t="s">
        <v>72</v>
      </c>
      <c r="E38" s="10" t="s">
        <v>386</v>
      </c>
      <c r="F38" s="10">
        <v>1</v>
      </c>
      <c r="G38" s="15" t="s">
        <v>77</v>
      </c>
      <c r="H38" s="14" t="s">
        <v>391</v>
      </c>
      <c r="I38" s="15">
        <v>1.5</v>
      </c>
      <c r="J38" s="10" t="s">
        <v>72</v>
      </c>
      <c r="K38" s="15" t="s">
        <v>386</v>
      </c>
      <c r="L38" s="15">
        <v>1</v>
      </c>
      <c r="M38" s="15" t="s">
        <v>81</v>
      </c>
      <c r="N38" s="14" t="s">
        <v>562</v>
      </c>
      <c r="O38" s="15">
        <v>1.2</v>
      </c>
      <c r="P38" s="9">
        <v>25</v>
      </c>
      <c r="Q38" s="1">
        <v>16</v>
      </c>
      <c r="R38" s="10">
        <v>95</v>
      </c>
      <c r="S38" s="15" t="s">
        <v>82</v>
      </c>
    </row>
    <row r="39" spans="1:19" ht="16">
      <c r="A39" s="10" t="s">
        <v>57</v>
      </c>
      <c r="B39" s="33" t="s">
        <v>366</v>
      </c>
      <c r="C39" s="15">
        <v>1</v>
      </c>
      <c r="D39" s="10" t="s">
        <v>72</v>
      </c>
      <c r="E39" s="10" t="s">
        <v>386</v>
      </c>
      <c r="F39" s="10">
        <v>1</v>
      </c>
      <c r="G39" s="15" t="s">
        <v>77</v>
      </c>
      <c r="H39" s="14" t="s">
        <v>391</v>
      </c>
      <c r="I39" s="15">
        <v>1.05</v>
      </c>
      <c r="J39" s="10" t="s">
        <v>21</v>
      </c>
      <c r="K39" s="14" t="s">
        <v>380</v>
      </c>
      <c r="L39" s="15">
        <v>3</v>
      </c>
      <c r="M39" s="15" t="s">
        <v>22</v>
      </c>
      <c r="N39" s="58" t="s">
        <v>563</v>
      </c>
      <c r="O39" s="15">
        <v>0.5</v>
      </c>
      <c r="P39" s="9">
        <v>25</v>
      </c>
      <c r="Q39" s="1">
        <v>18</v>
      </c>
      <c r="R39" s="10">
        <v>85</v>
      </c>
      <c r="S39" s="15" t="s">
        <v>83</v>
      </c>
    </row>
    <row r="40" spans="1:19" ht="16">
      <c r="A40" s="10" t="s">
        <v>57</v>
      </c>
      <c r="B40" s="33" t="s">
        <v>366</v>
      </c>
      <c r="C40" s="15">
        <v>1</v>
      </c>
      <c r="D40" s="10" t="s">
        <v>72</v>
      </c>
      <c r="E40" s="10" t="s">
        <v>386</v>
      </c>
      <c r="F40" s="10">
        <v>1</v>
      </c>
      <c r="G40" s="15" t="s">
        <v>77</v>
      </c>
      <c r="H40" s="14" t="s">
        <v>391</v>
      </c>
      <c r="I40" s="15">
        <v>1.05</v>
      </c>
      <c r="J40" s="10" t="s">
        <v>21</v>
      </c>
      <c r="K40" s="14" t="s">
        <v>380</v>
      </c>
      <c r="L40" s="15">
        <v>3</v>
      </c>
      <c r="M40" s="15" t="s">
        <v>22</v>
      </c>
      <c r="N40" s="58" t="s">
        <v>563</v>
      </c>
      <c r="O40" s="15">
        <v>0.4</v>
      </c>
      <c r="P40" s="9">
        <v>25</v>
      </c>
      <c r="Q40" s="1">
        <v>18</v>
      </c>
      <c r="R40" s="10">
        <v>65</v>
      </c>
      <c r="S40" s="15" t="s">
        <v>84</v>
      </c>
    </row>
    <row r="41" spans="1:19" ht="16">
      <c r="A41" s="10" t="s">
        <v>57</v>
      </c>
      <c r="B41" s="33" t="s">
        <v>366</v>
      </c>
      <c r="C41" s="15">
        <v>1</v>
      </c>
      <c r="D41" s="10" t="s">
        <v>72</v>
      </c>
      <c r="E41" s="10" t="s">
        <v>386</v>
      </c>
      <c r="F41" s="10">
        <v>1</v>
      </c>
      <c r="G41" s="15" t="s">
        <v>77</v>
      </c>
      <c r="H41" s="14" t="s">
        <v>391</v>
      </c>
      <c r="I41" s="15">
        <v>1.5</v>
      </c>
      <c r="J41" s="10" t="s">
        <v>21</v>
      </c>
      <c r="K41" s="14" t="s">
        <v>380</v>
      </c>
      <c r="L41" s="15">
        <v>3</v>
      </c>
      <c r="M41" s="15" t="s">
        <v>22</v>
      </c>
      <c r="N41" s="58" t="s">
        <v>563</v>
      </c>
      <c r="O41" s="15">
        <v>0.4</v>
      </c>
      <c r="P41" s="9">
        <v>25</v>
      </c>
      <c r="Q41" s="1">
        <v>16</v>
      </c>
      <c r="R41" s="10">
        <v>80</v>
      </c>
      <c r="S41" s="15" t="s">
        <v>85</v>
      </c>
    </row>
    <row r="42" spans="1:19" ht="16">
      <c r="A42" s="10" t="s">
        <v>57</v>
      </c>
      <c r="B42" s="33" t="s">
        <v>366</v>
      </c>
      <c r="C42" s="15">
        <v>1</v>
      </c>
      <c r="D42" s="10" t="s">
        <v>72</v>
      </c>
      <c r="E42" s="10" t="s">
        <v>386</v>
      </c>
      <c r="F42" s="10">
        <v>1</v>
      </c>
      <c r="G42" s="15" t="s">
        <v>77</v>
      </c>
      <c r="H42" s="14" t="s">
        <v>391</v>
      </c>
      <c r="I42" s="15">
        <v>1.5</v>
      </c>
      <c r="J42" s="10" t="s">
        <v>21</v>
      </c>
      <c r="K42" s="14" t="s">
        <v>380</v>
      </c>
      <c r="L42" s="15">
        <v>5</v>
      </c>
      <c r="M42" s="15" t="s">
        <v>16</v>
      </c>
      <c r="N42" s="58" t="s">
        <v>562</v>
      </c>
      <c r="O42" s="15">
        <v>0.22</v>
      </c>
      <c r="P42" s="9">
        <v>25</v>
      </c>
      <c r="Q42" s="1">
        <v>15</v>
      </c>
      <c r="R42" s="10">
        <v>100</v>
      </c>
      <c r="S42" s="15" t="s">
        <v>86</v>
      </c>
    </row>
    <row r="43" spans="1:19" ht="16">
      <c r="A43" s="10" t="s">
        <v>57</v>
      </c>
      <c r="B43" s="33" t="s">
        <v>366</v>
      </c>
      <c r="C43" s="15">
        <v>1</v>
      </c>
      <c r="D43" s="10" t="s">
        <v>72</v>
      </c>
      <c r="E43" s="10" t="s">
        <v>386</v>
      </c>
      <c r="F43" s="10">
        <v>1</v>
      </c>
      <c r="G43" s="15" t="s">
        <v>77</v>
      </c>
      <c r="H43" s="14" t="s">
        <v>391</v>
      </c>
      <c r="I43" s="15">
        <v>1.05</v>
      </c>
      <c r="J43" s="10" t="s">
        <v>21</v>
      </c>
      <c r="K43" s="14" t="s">
        <v>380</v>
      </c>
      <c r="L43" s="15">
        <v>3</v>
      </c>
      <c r="M43" s="15" t="s">
        <v>16</v>
      </c>
      <c r="N43" s="58" t="s">
        <v>562</v>
      </c>
      <c r="O43" s="15">
        <v>0.5</v>
      </c>
      <c r="P43" s="9">
        <v>25</v>
      </c>
      <c r="Q43" s="1">
        <v>18</v>
      </c>
      <c r="R43" s="10">
        <v>70</v>
      </c>
      <c r="S43" s="15" t="s">
        <v>87</v>
      </c>
    </row>
    <row r="44" spans="1:19" ht="16">
      <c r="A44" s="10" t="s">
        <v>57</v>
      </c>
      <c r="B44" s="33" t="s">
        <v>366</v>
      </c>
      <c r="C44" s="15">
        <v>1</v>
      </c>
      <c r="D44" s="10" t="s">
        <v>88</v>
      </c>
      <c r="E44" s="10" t="s">
        <v>462</v>
      </c>
      <c r="F44" s="10">
        <v>1</v>
      </c>
      <c r="G44" s="15" t="s">
        <v>77</v>
      </c>
      <c r="H44" s="14" t="s">
        <v>391</v>
      </c>
      <c r="I44" s="15">
        <v>1.05</v>
      </c>
      <c r="J44" s="10" t="s">
        <v>21</v>
      </c>
      <c r="K44" s="14" t="s">
        <v>380</v>
      </c>
      <c r="L44" s="15">
        <v>3</v>
      </c>
      <c r="M44" s="15" t="s">
        <v>16</v>
      </c>
      <c r="N44" s="58" t="s">
        <v>562</v>
      </c>
      <c r="O44" s="15">
        <v>0.3</v>
      </c>
      <c r="P44" s="9">
        <v>25</v>
      </c>
      <c r="Q44" s="1">
        <v>16</v>
      </c>
      <c r="R44" s="10">
        <v>70</v>
      </c>
      <c r="S44" s="15" t="s">
        <v>89</v>
      </c>
    </row>
    <row r="45" spans="1:19" ht="16">
      <c r="A45" s="10" t="s">
        <v>57</v>
      </c>
      <c r="B45" s="33" t="s">
        <v>366</v>
      </c>
      <c r="C45" s="15">
        <v>1</v>
      </c>
      <c r="D45" s="10" t="s">
        <v>90</v>
      </c>
      <c r="E45" s="10" t="s">
        <v>462</v>
      </c>
      <c r="F45" s="10">
        <v>1</v>
      </c>
      <c r="G45" s="15" t="s">
        <v>77</v>
      </c>
      <c r="H45" s="14" t="s">
        <v>391</v>
      </c>
      <c r="I45" s="15">
        <v>1.25</v>
      </c>
      <c r="J45" s="10" t="s">
        <v>21</v>
      </c>
      <c r="K45" s="14" t="s">
        <v>380</v>
      </c>
      <c r="L45" s="15">
        <v>2</v>
      </c>
      <c r="M45" s="15" t="s">
        <v>91</v>
      </c>
      <c r="N45" s="58" t="s">
        <v>562</v>
      </c>
      <c r="O45" s="15">
        <v>0.4</v>
      </c>
      <c r="P45" s="9">
        <v>25</v>
      </c>
      <c r="Q45" s="1">
        <v>4</v>
      </c>
      <c r="R45" s="10">
        <v>90</v>
      </c>
      <c r="S45" s="15" t="s">
        <v>92</v>
      </c>
    </row>
    <row r="46" spans="1:19" ht="16">
      <c r="A46" s="10" t="s">
        <v>57</v>
      </c>
      <c r="B46" s="33" t="s">
        <v>366</v>
      </c>
      <c r="C46" s="15">
        <v>1</v>
      </c>
      <c r="D46" s="10" t="s">
        <v>90</v>
      </c>
      <c r="E46" s="10" t="s">
        <v>462</v>
      </c>
      <c r="F46" s="10">
        <v>1</v>
      </c>
      <c r="G46" s="15" t="s">
        <v>47</v>
      </c>
      <c r="H46" s="60" t="s">
        <v>561</v>
      </c>
      <c r="I46" s="15">
        <v>0.9</v>
      </c>
      <c r="J46" s="10" t="s">
        <v>21</v>
      </c>
      <c r="K46" s="14" t="s">
        <v>380</v>
      </c>
      <c r="L46" s="15">
        <v>3.6</v>
      </c>
      <c r="M46" s="15" t="s">
        <v>16</v>
      </c>
      <c r="N46" s="58" t="s">
        <v>562</v>
      </c>
      <c r="O46" s="15">
        <v>0.2</v>
      </c>
      <c r="P46" s="9">
        <v>25</v>
      </c>
      <c r="Q46" s="1">
        <v>15</v>
      </c>
      <c r="R46" s="10">
        <v>96</v>
      </c>
      <c r="S46" s="15" t="s">
        <v>93</v>
      </c>
    </row>
    <row r="47" spans="1:19" ht="16">
      <c r="A47" s="10" t="s">
        <v>57</v>
      </c>
      <c r="B47" s="33" t="s">
        <v>366</v>
      </c>
      <c r="C47" s="15">
        <v>1</v>
      </c>
      <c r="D47" s="10" t="s">
        <v>90</v>
      </c>
      <c r="E47" s="10" t="s">
        <v>462</v>
      </c>
      <c r="F47" s="10">
        <v>1</v>
      </c>
      <c r="G47" s="15" t="s">
        <v>77</v>
      </c>
      <c r="H47" s="14" t="s">
        <v>391</v>
      </c>
      <c r="I47" s="15">
        <v>1.5</v>
      </c>
      <c r="J47" s="10" t="s">
        <v>21</v>
      </c>
      <c r="K47" s="14" t="s">
        <v>380</v>
      </c>
      <c r="L47" s="15">
        <v>5</v>
      </c>
      <c r="M47" s="15" t="s">
        <v>16</v>
      </c>
      <c r="N47" s="58" t="s">
        <v>562</v>
      </c>
      <c r="O47" s="15">
        <v>0.3</v>
      </c>
      <c r="P47" s="9">
        <v>25</v>
      </c>
      <c r="Q47" s="1">
        <v>15</v>
      </c>
      <c r="R47" s="10">
        <v>99</v>
      </c>
      <c r="S47" s="15" t="s">
        <v>94</v>
      </c>
    </row>
    <row r="48" spans="1:19" ht="16">
      <c r="A48" s="26" t="s">
        <v>57</v>
      </c>
      <c r="B48" s="33" t="s">
        <v>366</v>
      </c>
      <c r="C48" s="15">
        <v>1</v>
      </c>
      <c r="D48" s="10" t="s">
        <v>95</v>
      </c>
      <c r="E48" s="10" t="s">
        <v>463</v>
      </c>
      <c r="F48" s="10">
        <v>1</v>
      </c>
      <c r="G48" s="15" t="s">
        <v>77</v>
      </c>
      <c r="H48" s="14" t="s">
        <v>391</v>
      </c>
      <c r="I48" s="15">
        <v>1.25</v>
      </c>
      <c r="J48" s="10" t="s">
        <v>21</v>
      </c>
      <c r="K48" s="14" t="s">
        <v>380</v>
      </c>
      <c r="L48" s="15">
        <v>2</v>
      </c>
      <c r="M48" s="15" t="s">
        <v>91</v>
      </c>
      <c r="N48" s="58" t="s">
        <v>562</v>
      </c>
      <c r="O48" s="15">
        <v>0.4</v>
      </c>
      <c r="P48" s="9">
        <v>25</v>
      </c>
      <c r="Q48" s="1">
        <v>4</v>
      </c>
      <c r="R48" s="10">
        <v>91</v>
      </c>
      <c r="S48" s="15" t="s">
        <v>96</v>
      </c>
    </row>
    <row r="49" spans="1:19" ht="16">
      <c r="A49" s="26" t="s">
        <v>57</v>
      </c>
      <c r="B49" s="33" t="s">
        <v>366</v>
      </c>
      <c r="C49" s="15">
        <v>1</v>
      </c>
      <c r="D49" s="10" t="s">
        <v>97</v>
      </c>
      <c r="E49" s="19" t="s">
        <v>379</v>
      </c>
      <c r="F49" s="10">
        <v>1.6</v>
      </c>
      <c r="G49" s="15" t="s">
        <v>98</v>
      </c>
      <c r="H49" s="14" t="s">
        <v>392</v>
      </c>
      <c r="I49" s="15">
        <v>1.1000000000000001</v>
      </c>
      <c r="J49" s="10" t="s">
        <v>24</v>
      </c>
      <c r="K49" s="14" t="s">
        <v>380</v>
      </c>
      <c r="L49" s="15">
        <v>1.4</v>
      </c>
      <c r="M49" s="15" t="s">
        <v>22</v>
      </c>
      <c r="N49" s="58" t="s">
        <v>563</v>
      </c>
      <c r="O49" s="15">
        <v>0.24</v>
      </c>
      <c r="P49" s="9">
        <v>25</v>
      </c>
      <c r="Q49" s="1">
        <v>16</v>
      </c>
      <c r="R49" s="10">
        <v>83</v>
      </c>
      <c r="S49" s="15" t="s">
        <v>99</v>
      </c>
    </row>
    <row r="50" spans="1:19" ht="16">
      <c r="A50" s="26" t="s">
        <v>57</v>
      </c>
      <c r="B50" s="33" t="s">
        <v>366</v>
      </c>
      <c r="C50" s="15">
        <v>1</v>
      </c>
      <c r="D50" s="10" t="s">
        <v>97</v>
      </c>
      <c r="E50" s="19" t="s">
        <v>379</v>
      </c>
      <c r="F50" s="10">
        <v>1.3</v>
      </c>
      <c r="G50" s="15" t="s">
        <v>68</v>
      </c>
      <c r="H50" s="15" t="s">
        <v>397</v>
      </c>
      <c r="I50" s="15">
        <v>1.2</v>
      </c>
      <c r="J50" s="44" t="s">
        <v>196</v>
      </c>
      <c r="K50" s="14" t="s">
        <v>381</v>
      </c>
      <c r="L50" s="15">
        <v>2</v>
      </c>
      <c r="M50" s="15" t="s">
        <v>40</v>
      </c>
      <c r="N50" s="14" t="s">
        <v>423</v>
      </c>
      <c r="O50" s="15">
        <v>0.6</v>
      </c>
      <c r="P50" s="9">
        <v>25</v>
      </c>
      <c r="Q50" s="1">
        <v>8</v>
      </c>
      <c r="R50" s="10">
        <v>81</v>
      </c>
      <c r="S50" s="15" t="s">
        <v>100</v>
      </c>
    </row>
    <row r="51" spans="1:19" ht="16">
      <c r="A51" s="26" t="s">
        <v>57</v>
      </c>
      <c r="B51" s="33" t="s">
        <v>366</v>
      </c>
      <c r="C51" s="15">
        <v>1</v>
      </c>
      <c r="D51" s="10" t="s">
        <v>97</v>
      </c>
      <c r="E51" s="19" t="s">
        <v>379</v>
      </c>
      <c r="F51" s="10">
        <v>1.2</v>
      </c>
      <c r="G51" s="15" t="s">
        <v>47</v>
      </c>
      <c r="H51" s="60" t="s">
        <v>561</v>
      </c>
      <c r="I51" s="15">
        <v>1.3</v>
      </c>
      <c r="J51" s="10" t="s">
        <v>24</v>
      </c>
      <c r="K51" s="14" t="s">
        <v>380</v>
      </c>
      <c r="L51" s="15">
        <v>3.2</v>
      </c>
      <c r="M51" s="15" t="s">
        <v>16</v>
      </c>
      <c r="N51" s="58" t="s">
        <v>562</v>
      </c>
      <c r="O51" s="15">
        <v>0.27</v>
      </c>
      <c r="P51" s="9">
        <v>25</v>
      </c>
      <c r="Q51" s="1">
        <v>18</v>
      </c>
      <c r="R51" s="10">
        <v>91</v>
      </c>
      <c r="S51" s="15" t="s">
        <v>101</v>
      </c>
    </row>
    <row r="52" spans="1:19" ht="16">
      <c r="A52" s="26" t="s">
        <v>57</v>
      </c>
      <c r="B52" s="33" t="s">
        <v>366</v>
      </c>
      <c r="C52" s="15">
        <v>1</v>
      </c>
      <c r="D52" s="10" t="s">
        <v>97</v>
      </c>
      <c r="E52" s="19" t="s">
        <v>379</v>
      </c>
      <c r="F52" s="10">
        <v>1.2</v>
      </c>
      <c r="G52" s="15" t="s">
        <v>102</v>
      </c>
      <c r="H52" s="15" t="s">
        <v>399</v>
      </c>
      <c r="I52" s="15">
        <v>1</v>
      </c>
      <c r="J52" s="10" t="s">
        <v>51</v>
      </c>
      <c r="K52" s="57" t="s">
        <v>383</v>
      </c>
      <c r="L52" s="15">
        <v>1.2</v>
      </c>
      <c r="M52" s="15" t="s">
        <v>22</v>
      </c>
      <c r="N52" s="58" t="s">
        <v>563</v>
      </c>
      <c r="O52" s="15">
        <v>0.43</v>
      </c>
      <c r="P52" s="9">
        <v>25</v>
      </c>
      <c r="Q52" s="1">
        <v>16</v>
      </c>
      <c r="R52" s="10">
        <v>74</v>
      </c>
      <c r="S52" s="15" t="s">
        <v>103</v>
      </c>
    </row>
    <row r="53" spans="1:19" ht="16">
      <c r="A53" s="26" t="s">
        <v>57</v>
      </c>
      <c r="B53" s="33" t="s">
        <v>366</v>
      </c>
      <c r="C53" s="15">
        <v>1</v>
      </c>
      <c r="D53" s="10" t="s">
        <v>97</v>
      </c>
      <c r="E53" s="19" t="s">
        <v>379</v>
      </c>
      <c r="F53" s="10">
        <v>1.2</v>
      </c>
      <c r="G53" s="15" t="s">
        <v>38</v>
      </c>
      <c r="H53" s="15" t="s">
        <v>398</v>
      </c>
      <c r="I53" s="15">
        <v>1.2</v>
      </c>
      <c r="J53" s="10" t="s">
        <v>97</v>
      </c>
      <c r="K53" s="14" t="s">
        <v>379</v>
      </c>
      <c r="L53" s="15">
        <v>1</v>
      </c>
      <c r="M53" s="15" t="s">
        <v>16</v>
      </c>
      <c r="N53" s="58" t="s">
        <v>562</v>
      </c>
      <c r="O53" s="15">
        <v>0.2</v>
      </c>
      <c r="P53" s="9">
        <v>25</v>
      </c>
      <c r="Q53" s="1">
        <v>5</v>
      </c>
      <c r="R53" s="10">
        <v>85</v>
      </c>
      <c r="S53" s="15" t="s">
        <v>104</v>
      </c>
    </row>
    <row r="54" spans="1:19" ht="16">
      <c r="A54" s="10" t="s">
        <v>36</v>
      </c>
      <c r="B54" s="33" t="s">
        <v>367</v>
      </c>
      <c r="C54" s="15">
        <v>1</v>
      </c>
      <c r="D54" s="10" t="s">
        <v>97</v>
      </c>
      <c r="E54" s="19" t="s">
        <v>379</v>
      </c>
      <c r="F54" s="10">
        <v>2</v>
      </c>
      <c r="G54" s="15" t="s">
        <v>105</v>
      </c>
      <c r="H54" s="14" t="s">
        <v>393</v>
      </c>
      <c r="I54" s="15">
        <v>1</v>
      </c>
      <c r="J54" s="10" t="s">
        <v>97</v>
      </c>
      <c r="K54" s="14" t="s">
        <v>379</v>
      </c>
      <c r="L54" s="15">
        <v>1</v>
      </c>
      <c r="M54" s="15" t="s">
        <v>48</v>
      </c>
      <c r="N54" s="15" t="s">
        <v>425</v>
      </c>
      <c r="O54" s="15">
        <v>0.53</v>
      </c>
      <c r="P54" s="9">
        <v>-20</v>
      </c>
      <c r="Q54" s="1">
        <v>16</v>
      </c>
      <c r="R54" s="10">
        <v>72</v>
      </c>
      <c r="S54" s="15" t="s">
        <v>106</v>
      </c>
    </row>
    <row r="55" spans="1:19" ht="16">
      <c r="A55" s="10" t="s">
        <v>36</v>
      </c>
      <c r="B55" s="33" t="s">
        <v>367</v>
      </c>
      <c r="C55" s="15">
        <v>1</v>
      </c>
      <c r="D55" s="10" t="s">
        <v>97</v>
      </c>
      <c r="E55" s="19" t="s">
        <v>379</v>
      </c>
      <c r="F55" s="10">
        <v>1.2</v>
      </c>
      <c r="G55" s="15" t="s">
        <v>105</v>
      </c>
      <c r="H55" s="14" t="s">
        <v>393</v>
      </c>
      <c r="I55" s="15">
        <v>1.2</v>
      </c>
      <c r="J55" s="10" t="s">
        <v>97</v>
      </c>
      <c r="K55" s="14" t="s">
        <v>379</v>
      </c>
      <c r="L55" s="15">
        <v>1</v>
      </c>
      <c r="M55" s="15" t="s">
        <v>22</v>
      </c>
      <c r="N55" s="58" t="s">
        <v>563</v>
      </c>
      <c r="O55" s="15">
        <v>0.19</v>
      </c>
      <c r="P55" s="9">
        <v>25</v>
      </c>
      <c r="Q55" s="1">
        <v>16</v>
      </c>
      <c r="R55" s="10">
        <v>71</v>
      </c>
      <c r="S55" s="15" t="s">
        <v>107</v>
      </c>
    </row>
    <row r="56" spans="1:19" ht="16">
      <c r="A56" s="10" t="s">
        <v>36</v>
      </c>
      <c r="B56" s="33" t="s">
        <v>367</v>
      </c>
      <c r="C56" s="15">
        <v>1</v>
      </c>
      <c r="D56" s="10" t="s">
        <v>97</v>
      </c>
      <c r="E56" s="19" t="s">
        <v>379</v>
      </c>
      <c r="F56" s="10">
        <v>1</v>
      </c>
      <c r="G56" s="15" t="s">
        <v>77</v>
      </c>
      <c r="H56" s="14" t="s">
        <v>391</v>
      </c>
      <c r="I56" s="15">
        <v>1</v>
      </c>
      <c r="J56" s="10" t="s">
        <v>24</v>
      </c>
      <c r="K56" s="14" t="s">
        <v>380</v>
      </c>
      <c r="L56" s="15">
        <v>1</v>
      </c>
      <c r="M56" s="15" t="s">
        <v>22</v>
      </c>
      <c r="N56" s="58" t="s">
        <v>563</v>
      </c>
      <c r="O56" s="15">
        <v>0.56999999999999995</v>
      </c>
      <c r="P56" s="9">
        <v>25</v>
      </c>
      <c r="Q56" s="1">
        <v>12</v>
      </c>
      <c r="R56" s="10">
        <v>61</v>
      </c>
      <c r="S56" s="15" t="s">
        <v>108</v>
      </c>
    </row>
    <row r="57" spans="1:19" ht="16">
      <c r="A57" s="10" t="s">
        <v>36</v>
      </c>
      <c r="B57" s="33" t="s">
        <v>367</v>
      </c>
      <c r="C57" s="15">
        <v>1.2</v>
      </c>
      <c r="D57" s="10" t="s">
        <v>97</v>
      </c>
      <c r="E57" s="19" t="s">
        <v>379</v>
      </c>
      <c r="F57" s="10">
        <v>1</v>
      </c>
      <c r="G57" s="15" t="s">
        <v>109</v>
      </c>
      <c r="H57" s="15" t="s">
        <v>400</v>
      </c>
      <c r="I57" s="15">
        <v>1.1000000000000001</v>
      </c>
      <c r="J57" s="44" t="s">
        <v>196</v>
      </c>
      <c r="K57" s="14" t="s">
        <v>381</v>
      </c>
      <c r="L57" s="15">
        <v>1.1000000000000001</v>
      </c>
      <c r="M57" s="15" t="s">
        <v>110</v>
      </c>
      <c r="N57" s="15" t="s">
        <v>426</v>
      </c>
      <c r="O57" s="15">
        <v>0.4</v>
      </c>
      <c r="P57" s="9">
        <v>70</v>
      </c>
      <c r="Q57" s="1">
        <v>6</v>
      </c>
      <c r="R57" s="10">
        <v>76</v>
      </c>
      <c r="S57" s="15" t="s">
        <v>111</v>
      </c>
    </row>
    <row r="58" spans="1:19" ht="16">
      <c r="A58" s="10" t="s">
        <v>36</v>
      </c>
      <c r="B58" s="33" t="s">
        <v>367</v>
      </c>
      <c r="C58" s="15">
        <v>1</v>
      </c>
      <c r="D58" s="10" t="s">
        <v>97</v>
      </c>
      <c r="E58" s="19" t="s">
        <v>379</v>
      </c>
      <c r="F58" s="10">
        <v>1</v>
      </c>
      <c r="G58" s="15" t="s">
        <v>112</v>
      </c>
      <c r="H58" s="15" t="s">
        <v>396</v>
      </c>
      <c r="I58" s="15">
        <v>1.1000000000000001</v>
      </c>
      <c r="J58" s="44" t="s">
        <v>196</v>
      </c>
      <c r="K58" s="14" t="s">
        <v>381</v>
      </c>
      <c r="L58" s="15">
        <v>5</v>
      </c>
      <c r="M58" s="15" t="s">
        <v>22</v>
      </c>
      <c r="N58" s="58" t="s">
        <v>563</v>
      </c>
      <c r="O58" s="15">
        <v>0.22</v>
      </c>
      <c r="P58" s="9">
        <v>25</v>
      </c>
      <c r="Q58" s="1">
        <v>16</v>
      </c>
      <c r="R58" s="10">
        <v>59</v>
      </c>
      <c r="S58" s="15" t="s">
        <v>113</v>
      </c>
    </row>
    <row r="59" spans="1:19" ht="16">
      <c r="A59" s="10" t="s">
        <v>36</v>
      </c>
      <c r="B59" s="33" t="s">
        <v>367</v>
      </c>
      <c r="C59" s="15">
        <v>1</v>
      </c>
      <c r="D59" s="10" t="s">
        <v>97</v>
      </c>
      <c r="E59" s="19" t="s">
        <v>379</v>
      </c>
      <c r="F59" s="10">
        <v>1</v>
      </c>
      <c r="G59" s="15" t="s">
        <v>98</v>
      </c>
      <c r="H59" s="15" t="s">
        <v>392</v>
      </c>
      <c r="I59" s="15">
        <v>1.1000000000000001</v>
      </c>
      <c r="J59" s="10" t="s">
        <v>24</v>
      </c>
      <c r="K59" s="14" t="s">
        <v>380</v>
      </c>
      <c r="L59" s="15">
        <v>2.5</v>
      </c>
      <c r="M59" s="15" t="s">
        <v>16</v>
      </c>
      <c r="N59" s="58" t="s">
        <v>562</v>
      </c>
      <c r="O59" s="15">
        <v>0.5</v>
      </c>
      <c r="P59" s="9">
        <v>25</v>
      </c>
      <c r="Q59" s="1">
        <v>24</v>
      </c>
      <c r="R59" s="10">
        <v>80</v>
      </c>
      <c r="S59" s="15" t="s">
        <v>114</v>
      </c>
    </row>
    <row r="60" spans="1:19" ht="16">
      <c r="A60" s="10" t="s">
        <v>36</v>
      </c>
      <c r="B60" s="33" t="s">
        <v>367</v>
      </c>
      <c r="C60" s="15">
        <v>1</v>
      </c>
      <c r="D60" s="10" t="s">
        <v>97</v>
      </c>
      <c r="E60" s="19" t="s">
        <v>379</v>
      </c>
      <c r="F60" s="10">
        <v>1.1000000000000001</v>
      </c>
      <c r="G60" s="15" t="s">
        <v>98</v>
      </c>
      <c r="H60" s="15" t="s">
        <v>392</v>
      </c>
      <c r="I60" s="15">
        <v>1.2</v>
      </c>
      <c r="J60" s="10" t="s">
        <v>24</v>
      </c>
      <c r="K60" s="14" t="s">
        <v>380</v>
      </c>
      <c r="L60" s="15">
        <v>5</v>
      </c>
      <c r="M60" s="15" t="s">
        <v>16</v>
      </c>
      <c r="N60" s="58" t="s">
        <v>562</v>
      </c>
      <c r="O60" s="15">
        <v>0.15</v>
      </c>
      <c r="P60" s="9">
        <v>25</v>
      </c>
      <c r="Q60" s="1">
        <v>18</v>
      </c>
      <c r="R60" s="10">
        <v>80</v>
      </c>
      <c r="S60" s="15" t="s">
        <v>115</v>
      </c>
    </row>
    <row r="61" spans="1:19" ht="16">
      <c r="A61" s="10" t="s">
        <v>36</v>
      </c>
      <c r="B61" s="33" t="s">
        <v>367</v>
      </c>
      <c r="C61" s="15">
        <v>1</v>
      </c>
      <c r="D61" s="10" t="s">
        <v>97</v>
      </c>
      <c r="E61" s="19" t="s">
        <v>379</v>
      </c>
      <c r="F61" s="10">
        <v>1</v>
      </c>
      <c r="G61" s="15" t="s">
        <v>112</v>
      </c>
      <c r="H61" s="15" t="s">
        <v>396</v>
      </c>
      <c r="I61" s="15">
        <v>1.5</v>
      </c>
      <c r="J61" s="10" t="s">
        <v>51</v>
      </c>
      <c r="K61" s="15" t="s">
        <v>383</v>
      </c>
      <c r="L61" s="15">
        <v>2</v>
      </c>
      <c r="M61" s="15" t="s">
        <v>16</v>
      </c>
      <c r="N61" s="58" t="s">
        <v>562</v>
      </c>
      <c r="O61" s="15">
        <v>0.23</v>
      </c>
      <c r="P61" s="9">
        <v>25</v>
      </c>
      <c r="Q61" s="1">
        <v>16</v>
      </c>
      <c r="R61" s="10">
        <v>89</v>
      </c>
      <c r="S61" s="15" t="s">
        <v>116</v>
      </c>
    </row>
    <row r="62" spans="1:19" ht="16">
      <c r="A62" s="10" t="s">
        <v>36</v>
      </c>
      <c r="B62" s="33" t="s">
        <v>367</v>
      </c>
      <c r="C62" s="15">
        <v>1.1000000000000001</v>
      </c>
      <c r="D62" s="10" t="s">
        <v>97</v>
      </c>
      <c r="E62" s="19" t="s">
        <v>379</v>
      </c>
      <c r="F62" s="10">
        <v>1</v>
      </c>
      <c r="G62" s="15" t="s">
        <v>77</v>
      </c>
      <c r="H62" s="14" t="s">
        <v>391</v>
      </c>
      <c r="I62" s="15">
        <v>1.2</v>
      </c>
      <c r="J62" s="44" t="s">
        <v>196</v>
      </c>
      <c r="K62" s="14" t="s">
        <v>381</v>
      </c>
      <c r="L62" s="15">
        <v>1.3</v>
      </c>
      <c r="M62" s="15" t="s">
        <v>22</v>
      </c>
      <c r="N62" s="58" t="s">
        <v>563</v>
      </c>
      <c r="O62" s="15">
        <v>0.1</v>
      </c>
      <c r="P62" s="9">
        <v>25</v>
      </c>
      <c r="Q62" s="1">
        <v>16</v>
      </c>
      <c r="R62" s="10">
        <v>80</v>
      </c>
      <c r="S62" s="15" t="s">
        <v>117</v>
      </c>
    </row>
    <row r="63" spans="1:19" ht="16">
      <c r="A63" s="10" t="s">
        <v>36</v>
      </c>
      <c r="B63" s="33" t="s">
        <v>367</v>
      </c>
      <c r="C63" s="15">
        <v>1</v>
      </c>
      <c r="D63" s="10" t="s">
        <v>97</v>
      </c>
      <c r="E63" s="19" t="s">
        <v>379</v>
      </c>
      <c r="F63" s="10">
        <v>1</v>
      </c>
      <c r="G63" s="15" t="s">
        <v>77</v>
      </c>
      <c r="H63" s="14" t="s">
        <v>391</v>
      </c>
      <c r="I63" s="15">
        <v>1</v>
      </c>
      <c r="J63" s="10" t="s">
        <v>24</v>
      </c>
      <c r="K63" s="14" t="s">
        <v>380</v>
      </c>
      <c r="L63" s="15">
        <v>2</v>
      </c>
      <c r="M63" s="15" t="s">
        <v>22</v>
      </c>
      <c r="N63" s="58" t="s">
        <v>563</v>
      </c>
      <c r="O63" s="15">
        <v>0.15</v>
      </c>
      <c r="P63" s="9">
        <v>25</v>
      </c>
      <c r="Q63" s="1">
        <v>3</v>
      </c>
      <c r="R63" s="10">
        <v>86</v>
      </c>
      <c r="S63" s="15" t="s">
        <v>118</v>
      </c>
    </row>
    <row r="64" spans="1:19" ht="16">
      <c r="A64" s="10" t="s">
        <v>119</v>
      </c>
      <c r="B64" s="15" t="s">
        <v>369</v>
      </c>
      <c r="C64" s="15">
        <v>1</v>
      </c>
      <c r="D64" s="10" t="s">
        <v>120</v>
      </c>
      <c r="E64" s="10" t="s">
        <v>457</v>
      </c>
      <c r="F64" s="10">
        <v>1</v>
      </c>
      <c r="G64" s="15" t="s">
        <v>439</v>
      </c>
      <c r="H64" s="15" t="s">
        <v>403</v>
      </c>
      <c r="I64" s="15">
        <v>1</v>
      </c>
      <c r="J64" s="10" t="s">
        <v>121</v>
      </c>
      <c r="K64" s="15" t="s">
        <v>121</v>
      </c>
      <c r="L64" s="15">
        <v>0</v>
      </c>
      <c r="M64" s="17" t="s">
        <v>48</v>
      </c>
      <c r="N64" s="15" t="s">
        <v>425</v>
      </c>
      <c r="O64" s="15">
        <v>0</v>
      </c>
      <c r="P64" s="9">
        <v>0</v>
      </c>
      <c r="Q64" s="1">
        <f>15/60</f>
        <v>0.25</v>
      </c>
      <c r="R64" s="10">
        <v>99</v>
      </c>
      <c r="S64" s="15" t="s">
        <v>122</v>
      </c>
    </row>
    <row r="65" spans="1:19" ht="16">
      <c r="A65" s="10" t="s">
        <v>119</v>
      </c>
      <c r="B65" s="15" t="s">
        <v>369</v>
      </c>
      <c r="C65" s="15">
        <v>1</v>
      </c>
      <c r="D65" s="10" t="s">
        <v>120</v>
      </c>
      <c r="E65" s="10" t="s">
        <v>457</v>
      </c>
      <c r="F65" s="10">
        <v>1</v>
      </c>
      <c r="G65" s="15" t="s">
        <v>123</v>
      </c>
      <c r="H65" s="15" t="s">
        <v>402</v>
      </c>
      <c r="I65" s="15">
        <v>1</v>
      </c>
      <c r="J65" s="10" t="s">
        <v>121</v>
      </c>
      <c r="K65" s="15" t="s">
        <v>121</v>
      </c>
      <c r="L65" s="15">
        <v>0</v>
      </c>
      <c r="M65" s="15" t="s">
        <v>124</v>
      </c>
      <c r="N65" s="15" t="s">
        <v>428</v>
      </c>
      <c r="O65" s="15">
        <v>0</v>
      </c>
      <c r="P65" s="9">
        <v>25</v>
      </c>
      <c r="Q65" s="1">
        <f>5/60</f>
        <v>8.3333333333333329E-2</v>
      </c>
      <c r="R65" s="10">
        <v>98</v>
      </c>
      <c r="S65" s="15" t="s">
        <v>125</v>
      </c>
    </row>
    <row r="66" spans="1:19" ht="16">
      <c r="A66" s="10" t="s">
        <v>119</v>
      </c>
      <c r="B66" s="15" t="s">
        <v>369</v>
      </c>
      <c r="C66" s="15">
        <v>1</v>
      </c>
      <c r="D66" s="10" t="s">
        <v>120</v>
      </c>
      <c r="E66" s="10" t="s">
        <v>457</v>
      </c>
      <c r="F66" s="10">
        <v>1</v>
      </c>
      <c r="G66" s="15" t="s">
        <v>121</v>
      </c>
      <c r="H66" s="15" t="s">
        <v>121</v>
      </c>
      <c r="I66" s="15">
        <v>0</v>
      </c>
      <c r="J66" s="10" t="s">
        <v>121</v>
      </c>
      <c r="K66" s="15" t="s">
        <v>121</v>
      </c>
      <c r="L66" s="15">
        <v>0</v>
      </c>
      <c r="M66" s="15" t="s">
        <v>126</v>
      </c>
      <c r="N66" s="15" t="s">
        <v>428</v>
      </c>
      <c r="O66" s="15">
        <v>0</v>
      </c>
      <c r="P66" s="9">
        <v>25</v>
      </c>
      <c r="Q66" s="1">
        <f>5/60</f>
        <v>8.3333333333333329E-2</v>
      </c>
      <c r="R66" s="10">
        <v>97</v>
      </c>
      <c r="S66" s="15" t="s">
        <v>127</v>
      </c>
    </row>
    <row r="67" spans="1:19" ht="16">
      <c r="A67" s="10" t="s">
        <v>119</v>
      </c>
      <c r="B67" s="15" t="s">
        <v>369</v>
      </c>
      <c r="C67" s="15">
        <v>1</v>
      </c>
      <c r="D67" s="10" t="s">
        <v>120</v>
      </c>
      <c r="E67" s="10" t="s">
        <v>457</v>
      </c>
      <c r="F67" s="10">
        <v>1</v>
      </c>
      <c r="G67" s="15" t="s">
        <v>128</v>
      </c>
      <c r="H67" s="15" t="s">
        <v>404</v>
      </c>
      <c r="I67" s="15">
        <v>1</v>
      </c>
      <c r="J67" s="10" t="s">
        <v>121</v>
      </c>
      <c r="K67" s="15" t="s">
        <v>121</v>
      </c>
      <c r="L67" s="15">
        <v>0</v>
      </c>
      <c r="M67" s="17" t="s">
        <v>22</v>
      </c>
      <c r="N67" s="58" t="s">
        <v>563</v>
      </c>
      <c r="O67" s="15">
        <v>0</v>
      </c>
      <c r="P67" s="9">
        <v>25</v>
      </c>
      <c r="Q67" s="1">
        <f>30/60</f>
        <v>0.5</v>
      </c>
      <c r="R67" s="10">
        <v>96</v>
      </c>
      <c r="S67" s="15" t="s">
        <v>129</v>
      </c>
    </row>
    <row r="68" spans="1:19" ht="16">
      <c r="A68" s="10" t="s">
        <v>119</v>
      </c>
      <c r="B68" s="15" t="s">
        <v>369</v>
      </c>
      <c r="C68" s="15">
        <v>1</v>
      </c>
      <c r="D68" s="10" t="s">
        <v>120</v>
      </c>
      <c r="E68" s="10" t="s">
        <v>457</v>
      </c>
      <c r="F68" s="10">
        <v>1</v>
      </c>
      <c r="G68" s="15" t="s">
        <v>59</v>
      </c>
      <c r="H68" s="14" t="s">
        <v>390</v>
      </c>
      <c r="I68" s="15">
        <v>1</v>
      </c>
      <c r="J68" s="10" t="s">
        <v>121</v>
      </c>
      <c r="K68" s="15" t="s">
        <v>121</v>
      </c>
      <c r="L68" s="15">
        <v>0</v>
      </c>
      <c r="M68" s="17" t="s">
        <v>16</v>
      </c>
      <c r="N68" s="58" t="s">
        <v>562</v>
      </c>
      <c r="O68" s="15">
        <v>0</v>
      </c>
      <c r="P68" s="9">
        <v>25</v>
      </c>
      <c r="Q68" s="1">
        <v>16</v>
      </c>
      <c r="R68" s="10">
        <v>95</v>
      </c>
      <c r="S68" s="15" t="s">
        <v>130</v>
      </c>
    </row>
    <row r="69" spans="1:19" ht="16">
      <c r="A69" s="10" t="s">
        <v>119</v>
      </c>
      <c r="B69" s="15" t="s">
        <v>369</v>
      </c>
      <c r="C69" s="15">
        <v>1</v>
      </c>
      <c r="D69" s="10" t="s">
        <v>120</v>
      </c>
      <c r="E69" s="10" t="s">
        <v>457</v>
      </c>
      <c r="F69" s="10">
        <v>1</v>
      </c>
      <c r="G69" s="15" t="s">
        <v>131</v>
      </c>
      <c r="H69" s="15" t="s">
        <v>405</v>
      </c>
      <c r="I69" s="15">
        <v>1</v>
      </c>
      <c r="J69" s="10" t="s">
        <v>121</v>
      </c>
      <c r="K69" s="15" t="s">
        <v>121</v>
      </c>
      <c r="L69" s="15">
        <v>0</v>
      </c>
      <c r="M69" s="17" t="s">
        <v>48</v>
      </c>
      <c r="N69" s="15" t="s">
        <v>425</v>
      </c>
      <c r="O69" s="15">
        <v>0</v>
      </c>
      <c r="P69" s="9">
        <v>25</v>
      </c>
      <c r="Q69" s="1">
        <f>10/60</f>
        <v>0.16666666666666666</v>
      </c>
      <c r="R69" s="10">
        <v>91</v>
      </c>
      <c r="S69" s="15" t="s">
        <v>132</v>
      </c>
    </row>
    <row r="70" spans="1:19" ht="16">
      <c r="A70" s="10" t="s">
        <v>119</v>
      </c>
      <c r="B70" s="15" t="s">
        <v>369</v>
      </c>
      <c r="C70" s="15">
        <v>1</v>
      </c>
      <c r="D70" s="10" t="s">
        <v>120</v>
      </c>
      <c r="E70" s="10" t="s">
        <v>457</v>
      </c>
      <c r="F70" s="10">
        <v>1</v>
      </c>
      <c r="G70" s="15" t="s">
        <v>128</v>
      </c>
      <c r="H70" s="15" t="s">
        <v>404</v>
      </c>
      <c r="I70" s="15">
        <v>1</v>
      </c>
      <c r="J70" s="10" t="s">
        <v>121</v>
      </c>
      <c r="K70" s="15" t="s">
        <v>121</v>
      </c>
      <c r="L70" s="15">
        <v>0</v>
      </c>
      <c r="M70" s="17" t="s">
        <v>22</v>
      </c>
      <c r="N70" s="58" t="s">
        <v>563</v>
      </c>
      <c r="O70" s="15">
        <v>0</v>
      </c>
      <c r="P70" s="9">
        <v>25</v>
      </c>
      <c r="Q70" s="1">
        <f>30/60</f>
        <v>0.5</v>
      </c>
      <c r="R70" s="10">
        <v>90</v>
      </c>
      <c r="S70" s="15" t="s">
        <v>133</v>
      </c>
    </row>
    <row r="71" spans="1:19" ht="16">
      <c r="A71" s="10" t="s">
        <v>119</v>
      </c>
      <c r="B71" s="15" t="s">
        <v>369</v>
      </c>
      <c r="C71" s="15">
        <v>1</v>
      </c>
      <c r="D71" s="10" t="s">
        <v>120</v>
      </c>
      <c r="E71" s="10" t="s">
        <v>457</v>
      </c>
      <c r="F71" s="10">
        <v>1</v>
      </c>
      <c r="G71" s="15" t="s">
        <v>128</v>
      </c>
      <c r="H71" s="15" t="s">
        <v>404</v>
      </c>
      <c r="I71" s="15">
        <v>1</v>
      </c>
      <c r="J71" s="10" t="s">
        <v>121</v>
      </c>
      <c r="K71" s="15" t="s">
        <v>121</v>
      </c>
      <c r="L71" s="15">
        <v>0</v>
      </c>
      <c r="M71" s="17" t="s">
        <v>22</v>
      </c>
      <c r="N71" s="58" t="s">
        <v>563</v>
      </c>
      <c r="O71" s="15">
        <v>0</v>
      </c>
      <c r="P71" s="9">
        <v>25</v>
      </c>
      <c r="Q71" s="1">
        <f>30/60</f>
        <v>0.5</v>
      </c>
      <c r="R71" s="10">
        <v>90</v>
      </c>
      <c r="S71" s="15" t="s">
        <v>134</v>
      </c>
    </row>
    <row r="72" spans="1:19" ht="16">
      <c r="A72" s="10" t="s">
        <v>119</v>
      </c>
      <c r="B72" s="15" t="s">
        <v>369</v>
      </c>
      <c r="C72" s="15">
        <v>1</v>
      </c>
      <c r="D72" s="10" t="s">
        <v>120</v>
      </c>
      <c r="E72" s="10" t="s">
        <v>457</v>
      </c>
      <c r="F72" s="10">
        <v>1</v>
      </c>
      <c r="G72" s="15" t="s">
        <v>135</v>
      </c>
      <c r="H72" s="15" t="s">
        <v>406</v>
      </c>
      <c r="I72" s="15">
        <v>1</v>
      </c>
      <c r="J72" s="10" t="s">
        <v>121</v>
      </c>
      <c r="K72" s="15" t="s">
        <v>121</v>
      </c>
      <c r="L72" s="15">
        <v>0</v>
      </c>
      <c r="M72" s="15" t="s">
        <v>136</v>
      </c>
      <c r="N72" s="15" t="s">
        <v>432</v>
      </c>
      <c r="O72" s="15">
        <v>0</v>
      </c>
      <c r="P72" s="9">
        <v>155</v>
      </c>
      <c r="Q72" s="1">
        <v>15</v>
      </c>
      <c r="R72" s="10">
        <v>83</v>
      </c>
      <c r="S72" s="15" t="s">
        <v>137</v>
      </c>
    </row>
    <row r="73" spans="1:19" ht="16">
      <c r="A73" s="10" t="s">
        <v>119</v>
      </c>
      <c r="B73" s="15" t="s">
        <v>369</v>
      </c>
      <c r="C73" s="15">
        <v>1</v>
      </c>
      <c r="D73" s="10" t="s">
        <v>120</v>
      </c>
      <c r="E73" s="10" t="s">
        <v>457</v>
      </c>
      <c r="F73" s="10">
        <v>1</v>
      </c>
      <c r="G73" s="15" t="s">
        <v>138</v>
      </c>
      <c r="H73" s="15" t="s">
        <v>407</v>
      </c>
      <c r="I73" s="15">
        <v>1</v>
      </c>
      <c r="J73" s="10" t="s">
        <v>121</v>
      </c>
      <c r="K73" s="15" t="s">
        <v>121</v>
      </c>
      <c r="L73" s="15">
        <v>0</v>
      </c>
      <c r="M73" s="15" t="s">
        <v>139</v>
      </c>
      <c r="N73" s="15" t="s">
        <v>429</v>
      </c>
      <c r="O73" s="15">
        <v>0</v>
      </c>
      <c r="P73" s="9">
        <v>25</v>
      </c>
      <c r="Q73" s="1">
        <v>16</v>
      </c>
      <c r="R73" s="10">
        <v>80</v>
      </c>
      <c r="S73" s="15" t="s">
        <v>140</v>
      </c>
    </row>
    <row r="74" spans="1:19" ht="16">
      <c r="A74" s="10" t="s">
        <v>119</v>
      </c>
      <c r="B74" s="15" t="s">
        <v>369</v>
      </c>
      <c r="C74" s="15">
        <v>1</v>
      </c>
      <c r="D74" s="10" t="s">
        <v>120</v>
      </c>
      <c r="E74" s="10" t="s">
        <v>457</v>
      </c>
      <c r="F74" s="10">
        <v>1</v>
      </c>
      <c r="G74" s="15" t="s">
        <v>141</v>
      </c>
      <c r="H74" s="15" t="s">
        <v>408</v>
      </c>
      <c r="I74" s="15">
        <v>1</v>
      </c>
      <c r="J74" s="10" t="s">
        <v>142</v>
      </c>
      <c r="K74" s="15" t="s">
        <v>121</v>
      </c>
      <c r="L74" s="15">
        <v>0</v>
      </c>
      <c r="M74" s="15" t="s">
        <v>124</v>
      </c>
      <c r="N74" s="15" t="s">
        <v>428</v>
      </c>
      <c r="O74" s="15">
        <v>0</v>
      </c>
      <c r="P74" s="9">
        <v>110</v>
      </c>
      <c r="Q74" s="1">
        <v>4</v>
      </c>
      <c r="R74" s="10">
        <v>59</v>
      </c>
      <c r="S74" s="15" t="s">
        <v>143</v>
      </c>
    </row>
    <row r="75" spans="1:19" ht="18">
      <c r="A75" s="63" t="s">
        <v>119</v>
      </c>
      <c r="B75" s="62" t="s">
        <v>369</v>
      </c>
      <c r="C75" s="62">
        <v>1</v>
      </c>
      <c r="D75" s="63" t="s">
        <v>120</v>
      </c>
      <c r="E75" s="63" t="s">
        <v>457</v>
      </c>
      <c r="F75" s="63">
        <v>1</v>
      </c>
      <c r="G75" s="74" t="s">
        <v>409</v>
      </c>
      <c r="H75" s="62" t="s">
        <v>572</v>
      </c>
      <c r="I75" s="62">
        <v>1</v>
      </c>
      <c r="J75" s="63" t="s">
        <v>121</v>
      </c>
      <c r="K75" s="62" t="s">
        <v>121</v>
      </c>
      <c r="L75" s="62">
        <v>0</v>
      </c>
      <c r="M75" s="62" t="s">
        <v>91</v>
      </c>
      <c r="N75" s="65" t="s">
        <v>562</v>
      </c>
      <c r="O75" s="62">
        <v>0</v>
      </c>
      <c r="P75" s="66">
        <v>25</v>
      </c>
      <c r="Q75" s="67">
        <v>12</v>
      </c>
      <c r="R75" s="63">
        <v>51</v>
      </c>
      <c r="S75" s="62" t="s">
        <v>144</v>
      </c>
    </row>
    <row r="76" spans="1:19" ht="16">
      <c r="A76" s="10" t="s">
        <v>119</v>
      </c>
      <c r="B76" s="15" t="s">
        <v>369</v>
      </c>
      <c r="C76" s="15">
        <v>1</v>
      </c>
      <c r="D76" s="10" t="s">
        <v>145</v>
      </c>
      <c r="E76" s="10" t="s">
        <v>464</v>
      </c>
      <c r="F76" s="10">
        <v>1</v>
      </c>
      <c r="G76" s="15" t="s">
        <v>121</v>
      </c>
      <c r="H76" s="15" t="s">
        <v>121</v>
      </c>
      <c r="I76" s="15">
        <v>0</v>
      </c>
      <c r="J76" s="10" t="s">
        <v>121</v>
      </c>
      <c r="K76" s="15" t="s">
        <v>121</v>
      </c>
      <c r="L76" s="15">
        <v>0</v>
      </c>
      <c r="M76" s="17" t="s">
        <v>22</v>
      </c>
      <c r="N76" s="14" t="s">
        <v>563</v>
      </c>
      <c r="O76" s="15">
        <v>0</v>
      </c>
      <c r="P76" s="9">
        <v>25</v>
      </c>
      <c r="Q76" s="1">
        <f>30/60</f>
        <v>0.5</v>
      </c>
      <c r="R76" s="10">
        <v>88</v>
      </c>
      <c r="S76" s="15" t="s">
        <v>146</v>
      </c>
    </row>
    <row r="77" spans="1:19" ht="16">
      <c r="A77" s="10" t="s">
        <v>119</v>
      </c>
      <c r="B77" s="15" t="s">
        <v>369</v>
      </c>
      <c r="C77" s="15">
        <v>1</v>
      </c>
      <c r="D77" s="10" t="s">
        <v>145</v>
      </c>
      <c r="E77" s="10" t="s">
        <v>464</v>
      </c>
      <c r="F77" s="10">
        <v>1</v>
      </c>
      <c r="G77" s="15" t="s">
        <v>121</v>
      </c>
      <c r="H77" s="15" t="s">
        <v>121</v>
      </c>
      <c r="I77" s="15">
        <v>0</v>
      </c>
      <c r="J77" s="10" t="s">
        <v>121</v>
      </c>
      <c r="K77" s="15" t="s">
        <v>121</v>
      </c>
      <c r="L77" s="15">
        <v>0</v>
      </c>
      <c r="M77" s="17" t="s">
        <v>22</v>
      </c>
      <c r="N77" s="58" t="s">
        <v>563</v>
      </c>
      <c r="O77" s="15">
        <v>0</v>
      </c>
      <c r="P77" s="9">
        <v>25</v>
      </c>
      <c r="Q77" s="1">
        <f>30/60</f>
        <v>0.5</v>
      </c>
      <c r="R77" s="10">
        <v>86</v>
      </c>
      <c r="S77" s="15" t="s">
        <v>147</v>
      </c>
    </row>
    <row r="78" spans="1:19" ht="16">
      <c r="A78" s="10" t="s">
        <v>119</v>
      </c>
      <c r="B78" s="15" t="s">
        <v>369</v>
      </c>
      <c r="C78" s="15">
        <v>1</v>
      </c>
      <c r="D78" s="10" t="s">
        <v>145</v>
      </c>
      <c r="E78" s="10" t="s">
        <v>464</v>
      </c>
      <c r="F78" s="10">
        <v>1</v>
      </c>
      <c r="G78" s="15" t="s">
        <v>121</v>
      </c>
      <c r="H78" s="15" t="s">
        <v>121</v>
      </c>
      <c r="I78" s="15">
        <v>0</v>
      </c>
      <c r="J78" s="10" t="s">
        <v>121</v>
      </c>
      <c r="K78" s="15" t="s">
        <v>121</v>
      </c>
      <c r="L78" s="15">
        <v>0</v>
      </c>
      <c r="M78" s="17" t="s">
        <v>40</v>
      </c>
      <c r="N78" s="14" t="s">
        <v>423</v>
      </c>
      <c r="O78" s="15">
        <v>0</v>
      </c>
      <c r="P78" s="9">
        <v>100</v>
      </c>
      <c r="Q78" s="1">
        <v>10</v>
      </c>
      <c r="R78" s="10">
        <v>86</v>
      </c>
      <c r="S78" s="15" t="s">
        <v>148</v>
      </c>
    </row>
    <row r="79" spans="1:19" ht="16">
      <c r="A79" s="10" t="s">
        <v>119</v>
      </c>
      <c r="B79" s="15" t="s">
        <v>369</v>
      </c>
      <c r="C79" s="15">
        <v>0.1</v>
      </c>
      <c r="D79" s="10" t="s">
        <v>145</v>
      </c>
      <c r="E79" s="10" t="s">
        <v>464</v>
      </c>
      <c r="F79" s="10">
        <v>0.15</v>
      </c>
      <c r="G79" s="17" t="s">
        <v>59</v>
      </c>
      <c r="H79" s="16" t="s">
        <v>390</v>
      </c>
      <c r="I79" s="15">
        <v>1.5</v>
      </c>
      <c r="J79" s="10" t="s">
        <v>121</v>
      </c>
      <c r="K79" s="15" t="s">
        <v>121</v>
      </c>
      <c r="L79" s="15">
        <v>0</v>
      </c>
      <c r="M79" s="17" t="s">
        <v>91</v>
      </c>
      <c r="N79" s="58" t="s">
        <v>562</v>
      </c>
      <c r="O79" s="15">
        <v>0</v>
      </c>
      <c r="P79" s="9">
        <v>25</v>
      </c>
      <c r="Q79" s="1">
        <v>48</v>
      </c>
      <c r="R79" s="10">
        <v>89</v>
      </c>
      <c r="S79" s="15" t="s">
        <v>150</v>
      </c>
    </row>
    <row r="80" spans="1:19" ht="16">
      <c r="A80" s="10" t="s">
        <v>119</v>
      </c>
      <c r="B80" s="15" t="s">
        <v>369</v>
      </c>
      <c r="C80" s="15">
        <v>1</v>
      </c>
      <c r="D80" s="10" t="s">
        <v>145</v>
      </c>
      <c r="E80" s="10" t="s">
        <v>464</v>
      </c>
      <c r="F80" s="10">
        <v>1</v>
      </c>
      <c r="G80" s="17" t="s">
        <v>121</v>
      </c>
      <c r="H80" s="17" t="s">
        <v>121</v>
      </c>
      <c r="I80" s="17">
        <v>0</v>
      </c>
      <c r="J80" s="26" t="s">
        <v>24</v>
      </c>
      <c r="K80" s="17">
        <v>2.2000000000000002</v>
      </c>
      <c r="L80" s="15">
        <v>0</v>
      </c>
      <c r="M80" s="17" t="s">
        <v>91</v>
      </c>
      <c r="N80" s="58" t="s">
        <v>562</v>
      </c>
      <c r="O80" s="15">
        <v>2</v>
      </c>
      <c r="P80" s="9">
        <v>25</v>
      </c>
      <c r="Q80" s="1">
        <v>3</v>
      </c>
      <c r="R80" s="10">
        <v>88</v>
      </c>
      <c r="S80" s="15" t="s">
        <v>151</v>
      </c>
    </row>
    <row r="81" spans="1:19" ht="16">
      <c r="A81" s="10" t="s">
        <v>119</v>
      </c>
      <c r="B81" s="15" t="s">
        <v>369</v>
      </c>
      <c r="C81" s="15">
        <v>4</v>
      </c>
      <c r="D81" s="10" t="s">
        <v>145</v>
      </c>
      <c r="E81" s="10" t="s">
        <v>464</v>
      </c>
      <c r="F81" s="10">
        <v>4</v>
      </c>
      <c r="G81" s="15" t="s">
        <v>152</v>
      </c>
      <c r="H81" s="15" t="s">
        <v>410</v>
      </c>
      <c r="I81" s="15">
        <v>0.2</v>
      </c>
      <c r="J81" s="10" t="s">
        <v>121</v>
      </c>
      <c r="K81" s="15" t="s">
        <v>121</v>
      </c>
      <c r="L81" s="15">
        <v>0</v>
      </c>
      <c r="M81" s="15" t="s">
        <v>153</v>
      </c>
      <c r="N81" s="15" t="s">
        <v>430</v>
      </c>
      <c r="O81" s="15">
        <v>5</v>
      </c>
      <c r="P81" s="9">
        <v>25</v>
      </c>
      <c r="Q81" s="1">
        <v>28</v>
      </c>
      <c r="R81" s="10">
        <v>88</v>
      </c>
      <c r="S81" s="15" t="s">
        <v>154</v>
      </c>
    </row>
    <row r="82" spans="1:19" ht="16">
      <c r="A82" s="10" t="s">
        <v>119</v>
      </c>
      <c r="B82" s="15" t="s">
        <v>369</v>
      </c>
      <c r="C82" s="15">
        <v>5</v>
      </c>
      <c r="D82" s="10" t="s">
        <v>145</v>
      </c>
      <c r="E82" s="10" t="s">
        <v>464</v>
      </c>
      <c r="F82" s="10">
        <v>5</v>
      </c>
      <c r="G82" s="17" t="s">
        <v>121</v>
      </c>
      <c r="H82" s="17" t="s">
        <v>121</v>
      </c>
      <c r="I82" s="15">
        <v>0</v>
      </c>
      <c r="J82" s="10" t="s">
        <v>155</v>
      </c>
      <c r="K82" s="14" t="s">
        <v>381</v>
      </c>
      <c r="L82" s="15">
        <v>5</v>
      </c>
      <c r="M82" s="17" t="s">
        <v>48</v>
      </c>
      <c r="N82" s="15" t="s">
        <v>425</v>
      </c>
      <c r="O82" s="15">
        <v>50</v>
      </c>
      <c r="P82" s="9">
        <v>25</v>
      </c>
      <c r="Q82" s="1">
        <v>1</v>
      </c>
      <c r="R82" s="10">
        <v>85</v>
      </c>
      <c r="S82" s="15" t="s">
        <v>156</v>
      </c>
    </row>
    <row r="83" spans="1:19" ht="16">
      <c r="A83" s="10" t="s">
        <v>119</v>
      </c>
      <c r="B83" s="15" t="s">
        <v>369</v>
      </c>
      <c r="C83" s="15">
        <v>1</v>
      </c>
      <c r="D83" s="10" t="s">
        <v>145</v>
      </c>
      <c r="E83" s="10" t="s">
        <v>464</v>
      </c>
      <c r="F83" s="10">
        <v>2</v>
      </c>
      <c r="G83" s="17" t="s">
        <v>121</v>
      </c>
      <c r="H83" s="17" t="s">
        <v>121</v>
      </c>
      <c r="I83" s="15">
        <v>0</v>
      </c>
      <c r="J83" s="10" t="s">
        <v>121</v>
      </c>
      <c r="K83" s="15" t="s">
        <v>121</v>
      </c>
      <c r="L83" s="15">
        <v>0</v>
      </c>
      <c r="M83" s="15" t="s">
        <v>40</v>
      </c>
      <c r="N83" s="14" t="s">
        <v>423</v>
      </c>
      <c r="O83" s="15">
        <v>8.5</v>
      </c>
      <c r="P83" s="9">
        <v>25</v>
      </c>
      <c r="Q83" s="1">
        <v>4</v>
      </c>
      <c r="R83" s="10">
        <v>82</v>
      </c>
      <c r="S83" s="15" t="s">
        <v>157</v>
      </c>
    </row>
    <row r="84" spans="1:19" ht="16">
      <c r="A84" s="10" t="s">
        <v>119</v>
      </c>
      <c r="B84" s="15" t="s">
        <v>369</v>
      </c>
      <c r="C84" s="15">
        <v>1.5</v>
      </c>
      <c r="D84" s="10" t="s">
        <v>145</v>
      </c>
      <c r="E84" s="10" t="s">
        <v>464</v>
      </c>
      <c r="F84" s="10">
        <v>1</v>
      </c>
      <c r="G84" s="15" t="s">
        <v>158</v>
      </c>
      <c r="H84" s="15" t="s">
        <v>411</v>
      </c>
      <c r="I84" s="15">
        <v>0.2</v>
      </c>
      <c r="J84" s="10" t="s">
        <v>121</v>
      </c>
      <c r="K84" s="15" t="s">
        <v>121</v>
      </c>
      <c r="L84" s="15">
        <v>0</v>
      </c>
      <c r="M84" s="15" t="s">
        <v>40</v>
      </c>
      <c r="N84" s="14" t="s">
        <v>423</v>
      </c>
      <c r="O84" s="15">
        <v>0.6</v>
      </c>
      <c r="P84" s="9">
        <v>70</v>
      </c>
      <c r="Q84" s="1">
        <v>24</v>
      </c>
      <c r="R84" s="10">
        <v>82</v>
      </c>
      <c r="S84" s="15" t="s">
        <v>159</v>
      </c>
    </row>
    <row r="85" spans="1:19" ht="16">
      <c r="A85" s="10" t="s">
        <v>119</v>
      </c>
      <c r="B85" s="15" t="s">
        <v>369</v>
      </c>
      <c r="C85" s="15">
        <v>1</v>
      </c>
      <c r="D85" s="10" t="s">
        <v>145</v>
      </c>
      <c r="E85" s="10" t="s">
        <v>464</v>
      </c>
      <c r="F85" s="10">
        <v>2</v>
      </c>
      <c r="G85" s="15" t="s">
        <v>440</v>
      </c>
      <c r="H85" s="15" t="s">
        <v>412</v>
      </c>
      <c r="I85" s="15">
        <v>1.25</v>
      </c>
      <c r="J85" s="10" t="s">
        <v>24</v>
      </c>
      <c r="K85" s="14" t="s">
        <v>380</v>
      </c>
      <c r="L85" s="15">
        <v>3.125</v>
      </c>
      <c r="M85" s="15" t="s">
        <v>22</v>
      </c>
      <c r="N85" s="58" t="s">
        <v>563</v>
      </c>
      <c r="O85" s="15">
        <v>6.4</v>
      </c>
      <c r="P85" s="9">
        <v>25</v>
      </c>
      <c r="Q85" s="1">
        <v>1</v>
      </c>
      <c r="R85" s="10">
        <v>81</v>
      </c>
      <c r="S85" s="15" t="s">
        <v>160</v>
      </c>
    </row>
    <row r="86" spans="1:19" ht="16">
      <c r="A86" s="10" t="s">
        <v>119</v>
      </c>
      <c r="B86" s="15" t="s">
        <v>369</v>
      </c>
      <c r="C86" s="15">
        <v>1</v>
      </c>
      <c r="D86" s="10" t="s">
        <v>145</v>
      </c>
      <c r="E86" s="10" t="s">
        <v>464</v>
      </c>
      <c r="F86" s="10">
        <v>1</v>
      </c>
      <c r="G86" s="15" t="s">
        <v>121</v>
      </c>
      <c r="H86" s="15" t="s">
        <v>121</v>
      </c>
      <c r="I86" s="15">
        <v>0</v>
      </c>
      <c r="J86" s="10" t="s">
        <v>24</v>
      </c>
      <c r="K86" s="14" t="s">
        <v>380</v>
      </c>
      <c r="L86" s="15">
        <v>0</v>
      </c>
      <c r="M86" s="15" t="s">
        <v>16</v>
      </c>
      <c r="N86" s="58" t="s">
        <v>562</v>
      </c>
      <c r="O86" s="15">
        <v>0</v>
      </c>
      <c r="P86" s="9">
        <v>25</v>
      </c>
      <c r="Q86" s="1">
        <v>1.5</v>
      </c>
      <c r="R86" s="10">
        <v>77</v>
      </c>
      <c r="S86" s="15" t="s">
        <v>161</v>
      </c>
    </row>
    <row r="87" spans="1:19" ht="16">
      <c r="A87" s="10" t="s">
        <v>119</v>
      </c>
      <c r="B87" s="15" t="s">
        <v>369</v>
      </c>
      <c r="C87" s="15">
        <v>1</v>
      </c>
      <c r="D87" s="10" t="s">
        <v>145</v>
      </c>
      <c r="E87" s="10" t="s">
        <v>464</v>
      </c>
      <c r="F87" s="10">
        <v>1</v>
      </c>
      <c r="G87" s="15" t="s">
        <v>59</v>
      </c>
      <c r="H87" s="14" t="s">
        <v>390</v>
      </c>
      <c r="I87" s="15">
        <v>1.3</v>
      </c>
      <c r="J87" s="10" t="s">
        <v>162</v>
      </c>
      <c r="K87" s="15" t="s">
        <v>384</v>
      </c>
      <c r="L87" s="15">
        <v>2</v>
      </c>
      <c r="M87" s="15" t="s">
        <v>163</v>
      </c>
      <c r="N87" s="15" t="s">
        <v>435</v>
      </c>
      <c r="O87" s="15">
        <v>0.5</v>
      </c>
      <c r="P87" s="9">
        <v>60</v>
      </c>
      <c r="Q87" s="1">
        <v>0.25</v>
      </c>
      <c r="R87" s="10">
        <v>99</v>
      </c>
      <c r="S87" s="15" t="s">
        <v>164</v>
      </c>
    </row>
    <row r="88" spans="1:19" ht="16">
      <c r="A88" s="63" t="s">
        <v>165</v>
      </c>
      <c r="B88" s="62" t="s">
        <v>370</v>
      </c>
      <c r="C88" s="62">
        <v>1</v>
      </c>
      <c r="D88" s="63" t="s">
        <v>166</v>
      </c>
      <c r="E88" s="63" t="s">
        <v>467</v>
      </c>
      <c r="F88" s="63">
        <v>1.2</v>
      </c>
      <c r="G88" s="62" t="s">
        <v>102</v>
      </c>
      <c r="H88" s="62" t="s">
        <v>399</v>
      </c>
      <c r="I88" s="62">
        <v>1.1000000000000001</v>
      </c>
      <c r="J88" s="64" t="s">
        <v>196</v>
      </c>
      <c r="K88" s="65" t="s">
        <v>381</v>
      </c>
      <c r="L88" s="62">
        <v>3</v>
      </c>
      <c r="M88" s="62" t="s">
        <v>16</v>
      </c>
      <c r="N88" s="65" t="s">
        <v>562</v>
      </c>
      <c r="O88" s="62">
        <v>0</v>
      </c>
      <c r="P88" s="66">
        <v>25</v>
      </c>
      <c r="Q88" s="67">
        <v>12</v>
      </c>
      <c r="R88" s="63">
        <v>49</v>
      </c>
      <c r="S88" s="62" t="s">
        <v>167</v>
      </c>
    </row>
    <row r="89" spans="1:19" ht="16">
      <c r="A89" s="63" t="s">
        <v>165</v>
      </c>
      <c r="B89" s="62" t="s">
        <v>370</v>
      </c>
      <c r="C89" s="62">
        <v>1</v>
      </c>
      <c r="D89" s="63" t="s">
        <v>166</v>
      </c>
      <c r="E89" s="63" t="s">
        <v>467</v>
      </c>
      <c r="F89" s="63">
        <v>1</v>
      </c>
      <c r="G89" s="62" t="s">
        <v>59</v>
      </c>
      <c r="H89" s="65" t="s">
        <v>390</v>
      </c>
      <c r="I89" s="62">
        <v>1</v>
      </c>
      <c r="J89" s="63" t="s">
        <v>121</v>
      </c>
      <c r="K89" s="62" t="s">
        <v>121</v>
      </c>
      <c r="L89" s="62">
        <v>0</v>
      </c>
      <c r="M89" s="62" t="s">
        <v>168</v>
      </c>
      <c r="N89" s="62" t="s">
        <v>573</v>
      </c>
      <c r="O89" s="62">
        <v>0</v>
      </c>
      <c r="P89" s="66">
        <v>40</v>
      </c>
      <c r="Q89" s="67">
        <v>2</v>
      </c>
      <c r="R89" s="63">
        <v>88</v>
      </c>
      <c r="S89" s="62" t="s">
        <v>169</v>
      </c>
    </row>
    <row r="90" spans="1:19" ht="16">
      <c r="A90" s="10" t="s">
        <v>170</v>
      </c>
      <c r="B90" s="15" t="s">
        <v>371</v>
      </c>
      <c r="C90" s="15">
        <v>1.1000000000000001</v>
      </c>
      <c r="D90" s="10" t="s">
        <v>171</v>
      </c>
      <c r="E90" s="10" t="s">
        <v>465</v>
      </c>
      <c r="F90" s="10">
        <v>1</v>
      </c>
      <c r="G90" s="15" t="s">
        <v>59</v>
      </c>
      <c r="H90" s="14" t="s">
        <v>390</v>
      </c>
      <c r="I90" s="15">
        <v>1.2</v>
      </c>
      <c r="J90" s="10" t="s">
        <v>149</v>
      </c>
      <c r="K90" s="15" t="s">
        <v>387</v>
      </c>
      <c r="L90" s="15">
        <v>1.1000000000000001</v>
      </c>
      <c r="M90" s="15" t="s">
        <v>16</v>
      </c>
      <c r="N90" s="58" t="s">
        <v>562</v>
      </c>
      <c r="O90" s="15">
        <v>2.2000000000000002</v>
      </c>
      <c r="P90" s="9">
        <v>25</v>
      </c>
      <c r="Q90" s="1">
        <v>12</v>
      </c>
      <c r="R90" s="10">
        <v>90</v>
      </c>
      <c r="S90" s="15" t="s">
        <v>172</v>
      </c>
    </row>
    <row r="91" spans="1:19" ht="16">
      <c r="A91" s="63" t="s">
        <v>170</v>
      </c>
      <c r="B91" s="15" t="s">
        <v>371</v>
      </c>
      <c r="C91" s="62">
        <v>1.2</v>
      </c>
      <c r="D91" s="61" t="s">
        <v>566</v>
      </c>
      <c r="E91" s="63" t="s">
        <v>567</v>
      </c>
      <c r="F91" s="63">
        <v>1</v>
      </c>
      <c r="G91" s="62" t="s">
        <v>15</v>
      </c>
      <c r="H91" s="62" t="s">
        <v>392</v>
      </c>
      <c r="I91" s="62">
        <v>1.5</v>
      </c>
      <c r="J91" s="64" t="s">
        <v>568</v>
      </c>
      <c r="K91" s="65" t="s">
        <v>569</v>
      </c>
      <c r="L91" s="62">
        <v>2</v>
      </c>
      <c r="M91" s="62" t="s">
        <v>16</v>
      </c>
      <c r="N91" s="65" t="s">
        <v>562</v>
      </c>
      <c r="O91" s="62">
        <v>0</v>
      </c>
      <c r="P91" s="66">
        <v>80</v>
      </c>
      <c r="Q91" s="67">
        <v>6</v>
      </c>
      <c r="R91" s="63">
        <v>59</v>
      </c>
      <c r="S91" s="62" t="s">
        <v>173</v>
      </c>
    </row>
    <row r="92" spans="1:19" ht="16">
      <c r="A92" s="63" t="s">
        <v>375</v>
      </c>
      <c r="B92" s="62" t="s">
        <v>376</v>
      </c>
      <c r="C92" s="62">
        <v>1</v>
      </c>
      <c r="D92" s="63" t="s">
        <v>171</v>
      </c>
      <c r="E92" s="63" t="s">
        <v>466</v>
      </c>
      <c r="F92" s="63">
        <v>1</v>
      </c>
      <c r="G92" s="62" t="s">
        <v>121</v>
      </c>
      <c r="H92" s="62" t="s">
        <v>121</v>
      </c>
      <c r="I92" s="62">
        <v>0</v>
      </c>
      <c r="J92" s="63" t="s">
        <v>121</v>
      </c>
      <c r="K92" s="62" t="s">
        <v>121</v>
      </c>
      <c r="L92" s="62">
        <v>0</v>
      </c>
      <c r="M92" s="62" t="s">
        <v>174</v>
      </c>
      <c r="N92" s="62" t="s">
        <v>435</v>
      </c>
      <c r="O92" s="62">
        <v>0</v>
      </c>
      <c r="P92" s="66">
        <v>25</v>
      </c>
      <c r="Q92" s="67">
        <v>0.25</v>
      </c>
      <c r="R92" s="63">
        <v>85</v>
      </c>
      <c r="S92" s="62" t="s">
        <v>175</v>
      </c>
    </row>
    <row r="93" spans="1:19" ht="16">
      <c r="A93" s="26" t="s">
        <v>375</v>
      </c>
      <c r="B93" s="15" t="s">
        <v>376</v>
      </c>
      <c r="C93" s="15">
        <v>1</v>
      </c>
      <c r="D93" s="10" t="s">
        <v>171</v>
      </c>
      <c r="E93" s="10" t="s">
        <v>466</v>
      </c>
      <c r="F93" s="10">
        <v>1.1000000000000001</v>
      </c>
      <c r="G93" s="15" t="s">
        <v>59</v>
      </c>
      <c r="H93" s="14" t="s">
        <v>390</v>
      </c>
      <c r="I93" s="15">
        <v>1.5</v>
      </c>
      <c r="J93" s="10" t="s">
        <v>121</v>
      </c>
      <c r="K93" s="15" t="s">
        <v>121</v>
      </c>
      <c r="L93" s="15">
        <v>0</v>
      </c>
      <c r="M93" s="15" t="s">
        <v>16</v>
      </c>
      <c r="N93" s="58" t="s">
        <v>562</v>
      </c>
      <c r="O93" s="15">
        <v>2.5000000000000001E-2</v>
      </c>
      <c r="P93" s="9">
        <v>25</v>
      </c>
      <c r="Q93" s="1">
        <v>24</v>
      </c>
      <c r="R93" s="10">
        <v>86</v>
      </c>
      <c r="S93" s="15" t="s">
        <v>176</v>
      </c>
    </row>
    <row r="94" spans="1:19" ht="16">
      <c r="A94" s="63" t="s">
        <v>177</v>
      </c>
      <c r="B94" s="62" t="s">
        <v>377</v>
      </c>
      <c r="C94" s="62">
        <v>1</v>
      </c>
      <c r="D94" s="63" t="s">
        <v>178</v>
      </c>
      <c r="E94" s="63" t="s">
        <v>468</v>
      </c>
      <c r="F94" s="63">
        <v>1</v>
      </c>
      <c r="G94" s="62" t="s">
        <v>59</v>
      </c>
      <c r="H94" s="65" t="s">
        <v>390</v>
      </c>
      <c r="I94" s="62">
        <v>1.1000000000000001</v>
      </c>
      <c r="J94" s="63" t="s">
        <v>121</v>
      </c>
      <c r="K94" s="62" t="s">
        <v>121</v>
      </c>
      <c r="L94" s="62">
        <v>0</v>
      </c>
      <c r="M94" s="62" t="s">
        <v>16</v>
      </c>
      <c r="N94" s="65" t="s">
        <v>562</v>
      </c>
      <c r="O94" s="62">
        <v>0</v>
      </c>
      <c r="P94" s="66">
        <v>25</v>
      </c>
      <c r="Q94" s="67">
        <v>2</v>
      </c>
      <c r="R94" s="63">
        <v>80</v>
      </c>
      <c r="S94" s="62" t="s">
        <v>179</v>
      </c>
    </row>
    <row r="95" spans="1:19" ht="16">
      <c r="A95" s="10" t="s">
        <v>180</v>
      </c>
      <c r="B95" s="15" t="s">
        <v>378</v>
      </c>
      <c r="C95" s="15">
        <v>1</v>
      </c>
      <c r="D95" s="10" t="s">
        <v>171</v>
      </c>
      <c r="E95" s="10" t="s">
        <v>466</v>
      </c>
      <c r="F95" s="10">
        <v>1.5</v>
      </c>
      <c r="G95" s="17" t="s">
        <v>59</v>
      </c>
      <c r="H95" s="14" t="s">
        <v>390</v>
      </c>
      <c r="I95" s="15">
        <v>1.5</v>
      </c>
      <c r="J95" s="26" t="s">
        <v>21</v>
      </c>
      <c r="K95" s="14" t="s">
        <v>380</v>
      </c>
      <c r="L95" s="15">
        <v>3</v>
      </c>
      <c r="M95" s="17" t="s">
        <v>91</v>
      </c>
      <c r="N95" s="58" t="s">
        <v>562</v>
      </c>
      <c r="O95" s="15">
        <v>0</v>
      </c>
      <c r="P95" s="9">
        <v>25</v>
      </c>
      <c r="Q95" s="1">
        <v>16</v>
      </c>
      <c r="R95" s="10">
        <v>55</v>
      </c>
      <c r="S95" s="15" t="s">
        <v>181</v>
      </c>
    </row>
    <row r="96" spans="1:19" ht="16">
      <c r="A96" s="10" t="s">
        <v>119</v>
      </c>
      <c r="B96" s="15" t="s">
        <v>369</v>
      </c>
      <c r="C96" s="15">
        <v>1.1000000000000001</v>
      </c>
      <c r="D96" s="10" t="s">
        <v>182</v>
      </c>
      <c r="E96" s="10" t="s">
        <v>469</v>
      </c>
      <c r="F96" s="10">
        <v>1</v>
      </c>
      <c r="G96" s="15" t="s">
        <v>183</v>
      </c>
      <c r="H96" s="15" t="s">
        <v>413</v>
      </c>
      <c r="I96" s="15">
        <v>0.1</v>
      </c>
      <c r="J96" s="10" t="s">
        <v>121</v>
      </c>
      <c r="K96" s="15" t="s">
        <v>121</v>
      </c>
      <c r="L96" s="15">
        <v>0</v>
      </c>
      <c r="M96" s="15" t="s">
        <v>153</v>
      </c>
      <c r="N96" s="15" t="s">
        <v>430</v>
      </c>
      <c r="O96" s="15">
        <v>0</v>
      </c>
      <c r="P96" s="9">
        <v>100</v>
      </c>
      <c r="Q96" s="1">
        <v>6</v>
      </c>
      <c r="R96" s="10">
        <v>98</v>
      </c>
      <c r="S96" s="15" t="s">
        <v>184</v>
      </c>
    </row>
    <row r="97" spans="1:19" ht="16">
      <c r="A97" s="10" t="s">
        <v>119</v>
      </c>
      <c r="B97" s="15" t="s">
        <v>369</v>
      </c>
      <c r="C97" s="15">
        <v>1</v>
      </c>
      <c r="D97" s="10" t="s">
        <v>171</v>
      </c>
      <c r="E97" s="10" t="s">
        <v>466</v>
      </c>
      <c r="F97" s="10">
        <v>1</v>
      </c>
      <c r="G97" s="15" t="s">
        <v>185</v>
      </c>
      <c r="H97" s="15" t="s">
        <v>414</v>
      </c>
      <c r="I97" s="15">
        <v>0.01</v>
      </c>
      <c r="J97" s="10" t="s">
        <v>121</v>
      </c>
      <c r="K97" s="15" t="s">
        <v>121</v>
      </c>
      <c r="L97" s="15">
        <v>0</v>
      </c>
      <c r="M97" s="15" t="s">
        <v>186</v>
      </c>
      <c r="N97" s="15" t="s">
        <v>428</v>
      </c>
      <c r="O97" s="15">
        <v>0</v>
      </c>
      <c r="P97" s="9">
        <v>100</v>
      </c>
      <c r="Q97" s="1">
        <v>14</v>
      </c>
      <c r="R97" s="10">
        <v>76</v>
      </c>
      <c r="S97" s="15" t="s">
        <v>184</v>
      </c>
    </row>
    <row r="98" spans="1:19" ht="16">
      <c r="A98" s="10" t="s">
        <v>119</v>
      </c>
      <c r="B98" s="15" t="s">
        <v>369</v>
      </c>
      <c r="C98" s="15">
        <v>1</v>
      </c>
      <c r="D98" s="10" t="s">
        <v>187</v>
      </c>
      <c r="E98" s="1" t="s">
        <v>470</v>
      </c>
      <c r="F98" s="10">
        <v>1</v>
      </c>
      <c r="G98" s="15" t="s">
        <v>281</v>
      </c>
      <c r="H98" s="34" t="s">
        <v>395</v>
      </c>
      <c r="I98" s="15">
        <v>1</v>
      </c>
      <c r="J98" s="26" t="s">
        <v>21</v>
      </c>
      <c r="K98" s="14" t="s">
        <v>380</v>
      </c>
      <c r="L98" s="15">
        <v>2</v>
      </c>
      <c r="M98" s="15" t="s">
        <v>433</v>
      </c>
      <c r="N98" s="15" t="s">
        <v>436</v>
      </c>
      <c r="O98" s="15">
        <v>0</v>
      </c>
      <c r="P98" s="9">
        <v>25</v>
      </c>
      <c r="Q98" s="1">
        <v>24</v>
      </c>
      <c r="R98" s="10">
        <v>100</v>
      </c>
      <c r="S98" s="15" t="s">
        <v>188</v>
      </c>
    </row>
    <row r="99" spans="1:19" ht="16">
      <c r="A99" s="10" t="s">
        <v>180</v>
      </c>
      <c r="B99" s="15" t="s">
        <v>378</v>
      </c>
      <c r="C99" s="15">
        <v>1</v>
      </c>
      <c r="D99" s="10" t="s">
        <v>171</v>
      </c>
      <c r="E99" s="10" t="s">
        <v>466</v>
      </c>
      <c r="F99" s="10">
        <v>1</v>
      </c>
      <c r="G99" s="15" t="s">
        <v>121</v>
      </c>
      <c r="H99" s="15" t="s">
        <v>121</v>
      </c>
      <c r="I99" s="15">
        <v>0</v>
      </c>
      <c r="J99" s="26" t="s">
        <v>21</v>
      </c>
      <c r="K99" s="14" t="s">
        <v>380</v>
      </c>
      <c r="L99" s="15">
        <v>2</v>
      </c>
      <c r="M99" s="17" t="s">
        <v>91</v>
      </c>
      <c r="N99" s="58" t="s">
        <v>562</v>
      </c>
      <c r="O99" s="15">
        <v>0</v>
      </c>
      <c r="P99" s="9">
        <v>25</v>
      </c>
      <c r="Q99" s="1">
        <v>16</v>
      </c>
      <c r="R99" s="10">
        <v>54</v>
      </c>
      <c r="S99" s="15" t="s">
        <v>189</v>
      </c>
    </row>
    <row r="100" spans="1:19" ht="16">
      <c r="A100" s="10" t="s">
        <v>190</v>
      </c>
      <c r="B100" s="15" t="s">
        <v>441</v>
      </c>
      <c r="C100" s="15">
        <v>1</v>
      </c>
      <c r="D100" s="10" t="s">
        <v>171</v>
      </c>
      <c r="E100" s="10" t="s">
        <v>466</v>
      </c>
      <c r="F100" s="10">
        <v>1</v>
      </c>
      <c r="G100" s="17" t="s">
        <v>281</v>
      </c>
      <c r="H100" s="34" t="s">
        <v>395</v>
      </c>
      <c r="I100" s="15">
        <v>1</v>
      </c>
      <c r="J100" s="26" t="s">
        <v>21</v>
      </c>
      <c r="K100" s="14" t="s">
        <v>380</v>
      </c>
      <c r="L100" s="15">
        <v>2</v>
      </c>
      <c r="M100" s="17" t="s">
        <v>91</v>
      </c>
      <c r="N100" s="58" t="s">
        <v>562</v>
      </c>
      <c r="O100" s="15">
        <v>0</v>
      </c>
      <c r="P100" s="9">
        <v>25</v>
      </c>
      <c r="Q100" s="1">
        <v>16</v>
      </c>
      <c r="R100" s="10">
        <v>57</v>
      </c>
      <c r="S100" s="15" t="s">
        <v>191</v>
      </c>
    </row>
    <row r="101" spans="1:19" ht="16">
      <c r="A101" s="10" t="s">
        <v>192</v>
      </c>
      <c r="B101" s="15" t="s">
        <v>442</v>
      </c>
      <c r="C101" s="15">
        <v>1</v>
      </c>
      <c r="D101" s="10" t="s">
        <v>171</v>
      </c>
      <c r="E101" s="10" t="s">
        <v>466</v>
      </c>
      <c r="F101" s="10">
        <v>1</v>
      </c>
      <c r="G101" s="17" t="s">
        <v>30</v>
      </c>
      <c r="H101" s="14" t="s">
        <v>391</v>
      </c>
      <c r="I101" s="15">
        <v>1.5</v>
      </c>
      <c r="J101" s="26" t="s">
        <v>21</v>
      </c>
      <c r="K101" s="14" t="s">
        <v>380</v>
      </c>
      <c r="L101" s="15">
        <v>1.5</v>
      </c>
      <c r="M101" s="17" t="s">
        <v>91</v>
      </c>
      <c r="N101" s="58" t="s">
        <v>562</v>
      </c>
      <c r="O101" s="15">
        <v>0</v>
      </c>
      <c r="P101" s="9">
        <v>25</v>
      </c>
      <c r="Q101" s="1">
        <v>16</v>
      </c>
      <c r="R101" s="10">
        <v>69</v>
      </c>
      <c r="S101" s="15" t="s">
        <v>193</v>
      </c>
    </row>
    <row r="102" spans="1:19" ht="16">
      <c r="A102" s="10" t="s">
        <v>194</v>
      </c>
      <c r="B102" s="15" t="s">
        <v>443</v>
      </c>
      <c r="C102" s="15">
        <v>1</v>
      </c>
      <c r="D102" s="10" t="s">
        <v>195</v>
      </c>
      <c r="E102" s="10" t="s">
        <v>471</v>
      </c>
      <c r="F102" s="10">
        <v>1</v>
      </c>
      <c r="G102" s="17" t="s">
        <v>30</v>
      </c>
      <c r="H102" s="14" t="s">
        <v>391</v>
      </c>
      <c r="I102" s="15">
        <v>2</v>
      </c>
      <c r="J102" s="44" t="s">
        <v>196</v>
      </c>
      <c r="K102" s="14" t="s">
        <v>381</v>
      </c>
      <c r="L102" s="15">
        <v>2</v>
      </c>
      <c r="M102" s="17" t="s">
        <v>48</v>
      </c>
      <c r="N102" s="15" t="s">
        <v>425</v>
      </c>
      <c r="O102" s="15">
        <v>0</v>
      </c>
      <c r="P102" s="9">
        <v>25</v>
      </c>
      <c r="Q102" s="1">
        <v>12</v>
      </c>
      <c r="R102" s="10">
        <v>51</v>
      </c>
      <c r="S102" s="15" t="s">
        <v>197</v>
      </c>
    </row>
    <row r="103" spans="1:19" ht="16">
      <c r="A103" s="10" t="s">
        <v>198</v>
      </c>
      <c r="B103" s="15" t="s">
        <v>444</v>
      </c>
      <c r="C103" s="15">
        <v>1</v>
      </c>
      <c r="D103" s="10" t="s">
        <v>171</v>
      </c>
      <c r="E103" s="10" t="s">
        <v>466</v>
      </c>
      <c r="F103" s="10">
        <v>1</v>
      </c>
      <c r="G103" s="15" t="s">
        <v>131</v>
      </c>
      <c r="H103" s="15" t="s">
        <v>405</v>
      </c>
      <c r="I103" s="15">
        <v>1</v>
      </c>
      <c r="J103" s="44" t="s">
        <v>196</v>
      </c>
      <c r="K103" s="14" t="s">
        <v>381</v>
      </c>
      <c r="L103" s="15">
        <v>1</v>
      </c>
      <c r="M103" s="17" t="s">
        <v>91</v>
      </c>
      <c r="N103" s="58" t="s">
        <v>562</v>
      </c>
      <c r="O103" s="15">
        <v>0</v>
      </c>
      <c r="P103" s="9">
        <v>25</v>
      </c>
      <c r="Q103" s="1">
        <v>0.5</v>
      </c>
      <c r="R103" s="10">
        <v>73</v>
      </c>
      <c r="S103" s="15" t="s">
        <v>199</v>
      </c>
    </row>
    <row r="104" spans="1:19" ht="16">
      <c r="A104" s="10" t="s">
        <v>190</v>
      </c>
      <c r="B104" s="15" t="s">
        <v>441</v>
      </c>
      <c r="C104" s="15">
        <v>1</v>
      </c>
      <c r="D104" s="10" t="s">
        <v>171</v>
      </c>
      <c r="E104" s="10" t="s">
        <v>466</v>
      </c>
      <c r="F104" s="10">
        <v>1</v>
      </c>
      <c r="G104" s="15" t="s">
        <v>59</v>
      </c>
      <c r="H104" s="14" t="s">
        <v>390</v>
      </c>
      <c r="I104" s="15">
        <v>1.5</v>
      </c>
      <c r="J104" s="26" t="s">
        <v>21</v>
      </c>
      <c r="K104" s="14" t="s">
        <v>380</v>
      </c>
      <c r="L104" s="15">
        <v>2</v>
      </c>
      <c r="M104" s="17" t="s">
        <v>91</v>
      </c>
      <c r="N104" s="58" t="s">
        <v>562</v>
      </c>
      <c r="O104" s="15">
        <v>0</v>
      </c>
      <c r="P104" s="9">
        <v>25</v>
      </c>
      <c r="Q104" s="1">
        <v>16</v>
      </c>
      <c r="R104" s="10">
        <v>57</v>
      </c>
      <c r="S104" s="15" t="s">
        <v>200</v>
      </c>
    </row>
    <row r="105" spans="1:19" ht="16">
      <c r="A105" s="10" t="s">
        <v>180</v>
      </c>
      <c r="B105" s="15" t="s">
        <v>378</v>
      </c>
      <c r="C105" s="15">
        <v>1</v>
      </c>
      <c r="D105" s="10" t="s">
        <v>171</v>
      </c>
      <c r="E105" s="10" t="s">
        <v>466</v>
      </c>
      <c r="F105" s="10">
        <v>1.5</v>
      </c>
      <c r="G105" s="15" t="s">
        <v>59</v>
      </c>
      <c r="H105" s="14" t="s">
        <v>390</v>
      </c>
      <c r="I105" s="15">
        <v>1.5</v>
      </c>
      <c r="J105" s="26" t="s">
        <v>21</v>
      </c>
      <c r="K105" s="14" t="s">
        <v>380</v>
      </c>
      <c r="L105" s="15">
        <v>3</v>
      </c>
      <c r="M105" s="17" t="s">
        <v>91</v>
      </c>
      <c r="N105" s="14" t="s">
        <v>562</v>
      </c>
      <c r="O105" s="15">
        <v>0</v>
      </c>
      <c r="P105" s="9">
        <v>25</v>
      </c>
      <c r="Q105" s="1">
        <v>16</v>
      </c>
      <c r="R105" s="10">
        <v>54</v>
      </c>
      <c r="S105" s="15" t="s">
        <v>191</v>
      </c>
    </row>
    <row r="106" spans="1:19" ht="16">
      <c r="A106" s="10" t="s">
        <v>201</v>
      </c>
      <c r="B106" s="15" t="s">
        <v>369</v>
      </c>
      <c r="C106" s="15">
        <v>1.1000000000000001</v>
      </c>
      <c r="D106" s="10" t="s">
        <v>202</v>
      </c>
      <c r="E106" s="10" t="s">
        <v>472</v>
      </c>
      <c r="F106" s="10">
        <v>1</v>
      </c>
      <c r="G106" s="15" t="s">
        <v>28</v>
      </c>
      <c r="H106" s="14" t="s">
        <v>394</v>
      </c>
      <c r="I106" s="15">
        <v>1.1000000000000001</v>
      </c>
      <c r="J106" s="10" t="s">
        <v>121</v>
      </c>
      <c r="K106" s="15" t="s">
        <v>121</v>
      </c>
      <c r="L106" s="15">
        <v>0</v>
      </c>
      <c r="M106" s="15" t="s">
        <v>121</v>
      </c>
      <c r="N106" s="15" t="s">
        <v>121</v>
      </c>
      <c r="O106" s="15">
        <v>0</v>
      </c>
      <c r="P106" s="9">
        <v>25</v>
      </c>
      <c r="Q106" s="1">
        <v>1.5</v>
      </c>
      <c r="R106" s="10">
        <v>77</v>
      </c>
      <c r="S106" s="15"/>
    </row>
    <row r="107" spans="1:19" ht="16">
      <c r="A107" s="10" t="s">
        <v>203</v>
      </c>
      <c r="B107" s="15" t="s">
        <v>445</v>
      </c>
      <c r="C107" s="15">
        <v>1.5</v>
      </c>
      <c r="D107" s="10" t="s">
        <v>204</v>
      </c>
      <c r="E107" s="10" t="s">
        <v>473</v>
      </c>
      <c r="F107" s="10">
        <v>1</v>
      </c>
      <c r="G107" s="15" t="s">
        <v>28</v>
      </c>
      <c r="H107" s="14" t="s">
        <v>394</v>
      </c>
      <c r="I107" s="15">
        <v>1.5</v>
      </c>
      <c r="J107" s="10" t="s">
        <v>121</v>
      </c>
      <c r="K107" s="15" t="s">
        <v>121</v>
      </c>
      <c r="L107" s="15">
        <v>0</v>
      </c>
      <c r="M107" s="15" t="s">
        <v>205</v>
      </c>
      <c r="N107" s="14" t="s">
        <v>423</v>
      </c>
      <c r="O107" s="15">
        <v>0</v>
      </c>
      <c r="P107" s="9">
        <v>60</v>
      </c>
      <c r="Q107" s="1">
        <v>16</v>
      </c>
      <c r="R107" s="10">
        <v>18</v>
      </c>
      <c r="S107" s="15" t="s">
        <v>206</v>
      </c>
    </row>
    <row r="108" spans="1:19" ht="16">
      <c r="A108" s="10" t="s">
        <v>207</v>
      </c>
      <c r="B108" s="15" t="s">
        <v>446</v>
      </c>
      <c r="C108" s="15">
        <v>1</v>
      </c>
      <c r="D108" s="10" t="s">
        <v>208</v>
      </c>
      <c r="E108" s="10" t="s">
        <v>474</v>
      </c>
      <c r="F108" s="10">
        <v>1</v>
      </c>
      <c r="G108" s="15" t="s">
        <v>59</v>
      </c>
      <c r="H108" s="14" t="s">
        <v>390</v>
      </c>
      <c r="I108" s="15">
        <v>1</v>
      </c>
      <c r="J108" s="10" t="s">
        <v>121</v>
      </c>
      <c r="K108" s="15" t="s">
        <v>121</v>
      </c>
      <c r="L108" s="15">
        <v>0</v>
      </c>
      <c r="M108" s="15" t="s">
        <v>427</v>
      </c>
      <c r="N108" s="15" t="s">
        <v>425</v>
      </c>
      <c r="O108" s="15">
        <v>0</v>
      </c>
      <c r="P108" s="9">
        <v>25</v>
      </c>
      <c r="Q108" s="1">
        <v>0.5</v>
      </c>
      <c r="R108" s="10">
        <v>54</v>
      </c>
      <c r="S108" s="15" t="s">
        <v>209</v>
      </c>
    </row>
    <row r="109" spans="1:19" ht="16">
      <c r="A109" s="10" t="s">
        <v>119</v>
      </c>
      <c r="B109" s="15" t="s">
        <v>369</v>
      </c>
      <c r="C109" s="15">
        <v>1.5</v>
      </c>
      <c r="D109" s="10" t="s">
        <v>210</v>
      </c>
      <c r="E109" s="10" t="s">
        <v>475</v>
      </c>
      <c r="F109" s="10">
        <v>1</v>
      </c>
      <c r="G109" s="15" t="s">
        <v>28</v>
      </c>
      <c r="H109" s="14" t="s">
        <v>394</v>
      </c>
      <c r="I109" s="15">
        <v>1.5</v>
      </c>
      <c r="J109" s="10" t="s">
        <v>121</v>
      </c>
      <c r="K109" s="15" t="s">
        <v>121</v>
      </c>
      <c r="L109" s="15">
        <v>0</v>
      </c>
      <c r="M109" s="15" t="s">
        <v>121</v>
      </c>
      <c r="N109" s="15" t="s">
        <v>121</v>
      </c>
      <c r="O109" s="15">
        <v>0</v>
      </c>
      <c r="P109" s="9">
        <v>25</v>
      </c>
      <c r="Q109" s="1">
        <v>8.3000000000000004E-2</v>
      </c>
      <c r="R109" s="10">
        <v>96</v>
      </c>
      <c r="S109" s="15" t="s">
        <v>211</v>
      </c>
    </row>
    <row r="110" spans="1:19" ht="16">
      <c r="A110" s="10" t="s">
        <v>373</v>
      </c>
      <c r="B110" s="15" t="s">
        <v>447</v>
      </c>
      <c r="C110" s="15">
        <v>1.4</v>
      </c>
      <c r="D110" s="10" t="s">
        <v>120</v>
      </c>
      <c r="E110" s="10" t="s">
        <v>457</v>
      </c>
      <c r="F110" s="10">
        <v>1</v>
      </c>
      <c r="G110" s="15" t="s">
        <v>59</v>
      </c>
      <c r="H110" s="14" t="s">
        <v>390</v>
      </c>
      <c r="I110" s="15">
        <v>1.4</v>
      </c>
      <c r="J110" s="10" t="s">
        <v>121</v>
      </c>
      <c r="K110" s="15" t="s">
        <v>121</v>
      </c>
      <c r="L110" s="15">
        <v>0</v>
      </c>
      <c r="M110" s="15" t="s">
        <v>121</v>
      </c>
      <c r="N110" s="15" t="s">
        <v>121</v>
      </c>
      <c r="O110" s="15">
        <v>0</v>
      </c>
      <c r="P110" s="9">
        <v>50</v>
      </c>
      <c r="Q110" s="1">
        <v>0.5</v>
      </c>
      <c r="R110" s="10">
        <v>81</v>
      </c>
      <c r="S110" s="15"/>
    </row>
    <row r="111" spans="1:19" ht="16">
      <c r="A111" s="10" t="s">
        <v>119</v>
      </c>
      <c r="B111" s="15" t="s">
        <v>369</v>
      </c>
      <c r="C111" s="15">
        <v>1</v>
      </c>
      <c r="D111" s="10" t="s">
        <v>212</v>
      </c>
      <c r="E111" s="10" t="s">
        <v>476</v>
      </c>
      <c r="F111" s="10">
        <v>1</v>
      </c>
      <c r="G111" s="15" t="s">
        <v>59</v>
      </c>
      <c r="H111" s="14" t="s">
        <v>390</v>
      </c>
      <c r="I111" s="15">
        <v>1</v>
      </c>
      <c r="J111" s="10" t="s">
        <v>121</v>
      </c>
      <c r="K111" s="15" t="s">
        <v>121</v>
      </c>
      <c r="L111" s="15">
        <v>0</v>
      </c>
      <c r="M111" s="15" t="s">
        <v>121</v>
      </c>
      <c r="N111" s="15" t="s">
        <v>121</v>
      </c>
      <c r="O111" s="15">
        <v>0</v>
      </c>
      <c r="P111" s="9">
        <v>25</v>
      </c>
      <c r="Q111" s="1">
        <v>0.16700000000000001</v>
      </c>
      <c r="R111" s="10">
        <v>97</v>
      </c>
      <c r="S111" s="15"/>
    </row>
    <row r="112" spans="1:19" ht="16">
      <c r="A112" s="10" t="s">
        <v>374</v>
      </c>
      <c r="B112" s="15" t="s">
        <v>448</v>
      </c>
      <c r="C112" s="15">
        <v>1.1000000000000001</v>
      </c>
      <c r="D112" s="10" t="s">
        <v>171</v>
      </c>
      <c r="E112" s="10" t="s">
        <v>466</v>
      </c>
      <c r="F112" s="10">
        <v>1</v>
      </c>
      <c r="G112" s="15" t="s">
        <v>59</v>
      </c>
      <c r="H112" s="14" t="s">
        <v>390</v>
      </c>
      <c r="I112" s="15">
        <v>1.1000000000000001</v>
      </c>
      <c r="J112" s="10" t="s">
        <v>121</v>
      </c>
      <c r="K112" s="15" t="s">
        <v>121</v>
      </c>
      <c r="L112" s="15">
        <v>0</v>
      </c>
      <c r="M112" s="15" t="s">
        <v>16</v>
      </c>
      <c r="N112" s="58" t="s">
        <v>562</v>
      </c>
      <c r="O112" s="15">
        <v>0</v>
      </c>
      <c r="P112" s="9">
        <v>25</v>
      </c>
      <c r="Q112" s="1">
        <v>12</v>
      </c>
      <c r="R112" s="10">
        <v>90</v>
      </c>
      <c r="S112" s="15" t="s">
        <v>213</v>
      </c>
    </row>
    <row r="113" spans="1:19" ht="16">
      <c r="A113" s="63" t="s">
        <v>214</v>
      </c>
      <c r="B113" s="62" t="s">
        <v>449</v>
      </c>
      <c r="C113" s="62">
        <v>1.5</v>
      </c>
      <c r="D113" s="63" t="s">
        <v>171</v>
      </c>
      <c r="E113" s="63" t="s">
        <v>466</v>
      </c>
      <c r="F113" s="63">
        <v>1</v>
      </c>
      <c r="G113" s="62" t="s">
        <v>121</v>
      </c>
      <c r="H113" s="62" t="s">
        <v>121</v>
      </c>
      <c r="I113" s="62">
        <v>0</v>
      </c>
      <c r="J113" s="63" t="s">
        <v>121</v>
      </c>
      <c r="K113" s="62" t="s">
        <v>121</v>
      </c>
      <c r="L113" s="62">
        <v>0</v>
      </c>
      <c r="M113" s="74" t="s">
        <v>215</v>
      </c>
      <c r="N113" s="62" t="s">
        <v>574</v>
      </c>
      <c r="O113" s="62">
        <v>0</v>
      </c>
      <c r="P113" s="66">
        <v>80</v>
      </c>
      <c r="Q113" s="67">
        <v>18</v>
      </c>
      <c r="R113" s="63">
        <v>91</v>
      </c>
      <c r="S113" s="62" t="s">
        <v>216</v>
      </c>
    </row>
    <row r="114" spans="1:19" ht="16">
      <c r="A114" s="10" t="s">
        <v>119</v>
      </c>
      <c r="B114" s="15" t="s">
        <v>369</v>
      </c>
      <c r="C114" s="15">
        <v>1</v>
      </c>
      <c r="D114" s="26" t="s">
        <v>307</v>
      </c>
      <c r="E114" s="10" t="s">
        <v>492</v>
      </c>
      <c r="F114" s="10">
        <v>1.5</v>
      </c>
      <c r="G114" s="15" t="s">
        <v>218</v>
      </c>
      <c r="H114" s="15" t="s">
        <v>415</v>
      </c>
      <c r="I114" s="15">
        <v>0.1</v>
      </c>
      <c r="J114" s="10" t="s">
        <v>121</v>
      </c>
      <c r="K114" s="15" t="s">
        <v>121</v>
      </c>
      <c r="L114" s="15">
        <v>0</v>
      </c>
      <c r="M114" s="17" t="s">
        <v>22</v>
      </c>
      <c r="N114" s="58" t="s">
        <v>563</v>
      </c>
      <c r="O114" s="15">
        <v>0.5</v>
      </c>
      <c r="P114" s="9">
        <v>110</v>
      </c>
      <c r="Q114" s="1">
        <v>24</v>
      </c>
      <c r="R114" s="10">
        <v>48</v>
      </c>
      <c r="S114" s="15" t="s">
        <v>219</v>
      </c>
    </row>
    <row r="115" spans="1:19" ht="16">
      <c r="A115" s="10" t="s">
        <v>220</v>
      </c>
      <c r="B115" s="15" t="s">
        <v>450</v>
      </c>
      <c r="C115" s="15">
        <v>1</v>
      </c>
      <c r="D115" s="10" t="s">
        <v>221</v>
      </c>
      <c r="E115" s="10" t="s">
        <v>382</v>
      </c>
      <c r="F115" s="10">
        <v>1.5</v>
      </c>
      <c r="G115" s="15" t="s">
        <v>218</v>
      </c>
      <c r="H115" s="15" t="s">
        <v>415</v>
      </c>
      <c r="I115" s="15">
        <v>0.1</v>
      </c>
      <c r="J115" s="10" t="s">
        <v>121</v>
      </c>
      <c r="K115" s="15" t="s">
        <v>121</v>
      </c>
      <c r="L115" s="15">
        <v>0</v>
      </c>
      <c r="M115" s="17" t="s">
        <v>22</v>
      </c>
      <c r="N115" s="58" t="s">
        <v>563</v>
      </c>
      <c r="O115" s="15">
        <v>0.5</v>
      </c>
      <c r="P115" s="9">
        <v>110</v>
      </c>
      <c r="Q115" s="1">
        <v>24</v>
      </c>
      <c r="R115" s="10">
        <v>72</v>
      </c>
      <c r="S115" s="15" t="s">
        <v>219</v>
      </c>
    </row>
    <row r="116" spans="1:19" ht="16">
      <c r="A116" s="10" t="s">
        <v>222</v>
      </c>
      <c r="B116" s="15" t="s">
        <v>451</v>
      </c>
      <c r="C116" s="15">
        <v>1</v>
      </c>
      <c r="D116" s="10" t="s">
        <v>120</v>
      </c>
      <c r="E116" s="10" t="s">
        <v>457</v>
      </c>
      <c r="F116" s="10">
        <v>1.5</v>
      </c>
      <c r="G116" s="15" t="s">
        <v>218</v>
      </c>
      <c r="H116" s="15" t="s">
        <v>415</v>
      </c>
      <c r="I116" s="15">
        <v>0.1</v>
      </c>
      <c r="J116" s="10" t="s">
        <v>121</v>
      </c>
      <c r="K116" s="15" t="s">
        <v>121</v>
      </c>
      <c r="L116" s="15">
        <v>0</v>
      </c>
      <c r="M116" s="17" t="s">
        <v>22</v>
      </c>
      <c r="N116" s="58" t="s">
        <v>563</v>
      </c>
      <c r="O116" s="15">
        <v>0.5</v>
      </c>
      <c r="P116" s="9">
        <v>110</v>
      </c>
      <c r="Q116" s="1">
        <v>24</v>
      </c>
      <c r="R116" s="10">
        <v>66</v>
      </c>
      <c r="S116" s="15" t="s">
        <v>219</v>
      </c>
    </row>
    <row r="117" spans="1:19" ht="16">
      <c r="A117" s="10" t="s">
        <v>223</v>
      </c>
      <c r="B117" s="15" t="s">
        <v>452</v>
      </c>
      <c r="C117" s="15">
        <v>1</v>
      </c>
      <c r="D117" s="10" t="s">
        <v>120</v>
      </c>
      <c r="E117" s="10" t="s">
        <v>457</v>
      </c>
      <c r="F117" s="10">
        <v>1.5</v>
      </c>
      <c r="G117" s="15" t="s">
        <v>218</v>
      </c>
      <c r="H117" s="15" t="s">
        <v>415</v>
      </c>
      <c r="I117" s="15">
        <v>0.1</v>
      </c>
      <c r="J117" s="10" t="s">
        <v>121</v>
      </c>
      <c r="K117" s="15" t="s">
        <v>121</v>
      </c>
      <c r="L117" s="15">
        <v>0</v>
      </c>
      <c r="M117" s="17" t="s">
        <v>22</v>
      </c>
      <c r="N117" s="58" t="s">
        <v>563</v>
      </c>
      <c r="O117" s="15">
        <v>0.5</v>
      </c>
      <c r="P117" s="9">
        <v>110</v>
      </c>
      <c r="Q117" s="1">
        <v>24</v>
      </c>
      <c r="R117" s="10">
        <v>88</v>
      </c>
      <c r="S117" s="15" t="s">
        <v>219</v>
      </c>
    </row>
    <row r="118" spans="1:19" ht="16">
      <c r="A118" s="10" t="s">
        <v>119</v>
      </c>
      <c r="B118" s="15" t="s">
        <v>369</v>
      </c>
      <c r="C118" s="15">
        <v>1</v>
      </c>
      <c r="D118" s="10" t="s">
        <v>224</v>
      </c>
      <c r="E118" s="10" t="s">
        <v>493</v>
      </c>
      <c r="F118" s="10">
        <v>1.5</v>
      </c>
      <c r="G118" s="15" t="s">
        <v>218</v>
      </c>
      <c r="H118" s="15" t="s">
        <v>415</v>
      </c>
      <c r="I118" s="15">
        <v>0.1</v>
      </c>
      <c r="J118" s="10" t="s">
        <v>121</v>
      </c>
      <c r="K118" s="15" t="s">
        <v>121</v>
      </c>
      <c r="L118" s="15">
        <v>0</v>
      </c>
      <c r="M118" s="17" t="s">
        <v>22</v>
      </c>
      <c r="N118" s="58" t="s">
        <v>563</v>
      </c>
      <c r="O118" s="15">
        <v>0.5</v>
      </c>
      <c r="P118" s="9">
        <v>110</v>
      </c>
      <c r="Q118" s="1">
        <v>24</v>
      </c>
      <c r="R118" s="10">
        <v>56</v>
      </c>
      <c r="S118" s="15" t="s">
        <v>219</v>
      </c>
    </row>
    <row r="119" spans="1:19" ht="16">
      <c r="A119" s="10" t="s">
        <v>119</v>
      </c>
      <c r="B119" s="15" t="s">
        <v>369</v>
      </c>
      <c r="C119" s="15">
        <v>1</v>
      </c>
      <c r="D119" s="10" t="s">
        <v>225</v>
      </c>
      <c r="E119" s="10" t="s">
        <v>477</v>
      </c>
      <c r="F119" s="10">
        <v>1</v>
      </c>
      <c r="G119" s="15" t="s">
        <v>121</v>
      </c>
      <c r="H119" s="15" t="s">
        <v>121</v>
      </c>
      <c r="I119" s="15">
        <v>0</v>
      </c>
      <c r="J119" s="10" t="s">
        <v>162</v>
      </c>
      <c r="K119" s="15" t="s">
        <v>384</v>
      </c>
      <c r="L119" s="15">
        <v>3</v>
      </c>
      <c r="M119" s="15" t="s">
        <v>153</v>
      </c>
      <c r="N119" s="15" t="s">
        <v>430</v>
      </c>
      <c r="O119" s="15">
        <v>0.25</v>
      </c>
      <c r="P119" s="9">
        <v>130</v>
      </c>
      <c r="Q119" s="1">
        <v>20</v>
      </c>
      <c r="R119" s="10">
        <v>85</v>
      </c>
      <c r="S119" s="15" t="s">
        <v>226</v>
      </c>
    </row>
    <row r="120" spans="1:19" ht="16">
      <c r="A120" s="10" t="s">
        <v>227</v>
      </c>
      <c r="B120" s="15" t="s">
        <v>453</v>
      </c>
      <c r="C120" s="15">
        <v>1</v>
      </c>
      <c r="D120" s="10" t="s">
        <v>225</v>
      </c>
      <c r="E120" s="10" t="s">
        <v>477</v>
      </c>
      <c r="F120" s="10">
        <v>1</v>
      </c>
      <c r="G120" s="15" t="s">
        <v>121</v>
      </c>
      <c r="H120" s="15" t="s">
        <v>121</v>
      </c>
      <c r="I120" s="15">
        <v>0</v>
      </c>
      <c r="J120" s="10" t="s">
        <v>162</v>
      </c>
      <c r="K120" s="15" t="s">
        <v>384</v>
      </c>
      <c r="L120" s="15">
        <v>3</v>
      </c>
      <c r="M120" s="15" t="s">
        <v>153</v>
      </c>
      <c r="N120" s="15" t="s">
        <v>430</v>
      </c>
      <c r="O120" s="15">
        <v>0.25</v>
      </c>
      <c r="P120" s="9">
        <v>130</v>
      </c>
      <c r="Q120" s="1">
        <v>20</v>
      </c>
      <c r="R120" s="10">
        <v>89</v>
      </c>
      <c r="S120" s="15" t="s">
        <v>226</v>
      </c>
    </row>
    <row r="121" spans="1:19" ht="16">
      <c r="A121" s="10" t="s">
        <v>228</v>
      </c>
      <c r="B121" s="15" t="s">
        <v>454</v>
      </c>
      <c r="C121" s="15">
        <v>1</v>
      </c>
      <c r="D121" s="10" t="s">
        <v>225</v>
      </c>
      <c r="E121" s="10" t="s">
        <v>477</v>
      </c>
      <c r="F121" s="10">
        <v>1</v>
      </c>
      <c r="G121" s="15" t="s">
        <v>121</v>
      </c>
      <c r="H121" s="15" t="s">
        <v>121</v>
      </c>
      <c r="I121" s="15">
        <v>0</v>
      </c>
      <c r="J121" s="10" t="s">
        <v>162</v>
      </c>
      <c r="K121" s="15" t="s">
        <v>384</v>
      </c>
      <c r="L121" s="15">
        <v>3</v>
      </c>
      <c r="M121" s="15" t="s">
        <v>153</v>
      </c>
      <c r="N121" s="15" t="s">
        <v>430</v>
      </c>
      <c r="O121" s="15">
        <v>0.25</v>
      </c>
      <c r="P121" s="9">
        <v>130</v>
      </c>
      <c r="Q121" s="1">
        <v>20</v>
      </c>
      <c r="R121" s="10">
        <v>40</v>
      </c>
      <c r="S121" s="15" t="s">
        <v>226</v>
      </c>
    </row>
    <row r="122" spans="1:19" ht="16">
      <c r="A122" s="10" t="s">
        <v>229</v>
      </c>
      <c r="B122" s="15" t="s">
        <v>486</v>
      </c>
      <c r="C122" s="15">
        <v>1</v>
      </c>
      <c r="D122" s="10" t="s">
        <v>225</v>
      </c>
      <c r="E122" s="10" t="s">
        <v>477</v>
      </c>
      <c r="F122" s="10">
        <v>1</v>
      </c>
      <c r="G122" s="15" t="s">
        <v>121</v>
      </c>
      <c r="H122" s="15" t="s">
        <v>121</v>
      </c>
      <c r="I122" s="15">
        <v>0</v>
      </c>
      <c r="J122" s="10" t="s">
        <v>162</v>
      </c>
      <c r="K122" s="15" t="s">
        <v>384</v>
      </c>
      <c r="L122" s="15">
        <v>3</v>
      </c>
      <c r="M122" s="15" t="s">
        <v>153</v>
      </c>
      <c r="N122" s="15" t="s">
        <v>430</v>
      </c>
      <c r="O122" s="15">
        <v>0.25</v>
      </c>
      <c r="P122" s="9">
        <v>130</v>
      </c>
      <c r="Q122" s="1">
        <v>20</v>
      </c>
      <c r="R122" s="10">
        <v>61</v>
      </c>
      <c r="S122" s="15" t="s">
        <v>226</v>
      </c>
    </row>
    <row r="123" spans="1:19" ht="16">
      <c r="A123" s="10" t="s">
        <v>230</v>
      </c>
      <c r="B123" s="15" t="s">
        <v>487</v>
      </c>
      <c r="C123" s="15">
        <v>1</v>
      </c>
      <c r="D123" s="10" t="s">
        <v>225</v>
      </c>
      <c r="E123" s="10" t="s">
        <v>477</v>
      </c>
      <c r="F123" s="10">
        <v>1</v>
      </c>
      <c r="G123" s="15" t="s">
        <v>121</v>
      </c>
      <c r="H123" s="15" t="s">
        <v>121</v>
      </c>
      <c r="I123" s="15">
        <v>0</v>
      </c>
      <c r="J123" s="10" t="s">
        <v>162</v>
      </c>
      <c r="K123" s="15" t="s">
        <v>384</v>
      </c>
      <c r="L123" s="15">
        <v>3</v>
      </c>
      <c r="M123" s="15" t="s">
        <v>153</v>
      </c>
      <c r="N123" s="15" t="s">
        <v>430</v>
      </c>
      <c r="O123" s="15">
        <v>0.25</v>
      </c>
      <c r="P123" s="9">
        <v>130</v>
      </c>
      <c r="Q123" s="1">
        <v>20</v>
      </c>
      <c r="R123" s="10">
        <v>28</v>
      </c>
      <c r="S123" s="15" t="s">
        <v>226</v>
      </c>
    </row>
    <row r="124" spans="1:19" ht="16">
      <c r="A124" s="10" t="s">
        <v>231</v>
      </c>
      <c r="B124" s="15" t="s">
        <v>488</v>
      </c>
      <c r="C124" s="15">
        <v>1</v>
      </c>
      <c r="D124" s="10" t="s">
        <v>120</v>
      </c>
      <c r="E124" s="55" t="s">
        <v>457</v>
      </c>
      <c r="F124" s="10">
        <v>0.5</v>
      </c>
      <c r="G124" s="15" t="s">
        <v>232</v>
      </c>
      <c r="H124" s="15" t="s">
        <v>416</v>
      </c>
      <c r="I124" s="15">
        <v>0.01</v>
      </c>
      <c r="J124" s="10" t="s">
        <v>121</v>
      </c>
      <c r="K124" s="15" t="s">
        <v>121</v>
      </c>
      <c r="L124" s="15">
        <v>0</v>
      </c>
      <c r="M124" s="15" t="s">
        <v>233</v>
      </c>
      <c r="N124" s="15" t="s">
        <v>431</v>
      </c>
      <c r="O124" s="15">
        <v>0.6</v>
      </c>
      <c r="P124" s="9">
        <v>140</v>
      </c>
      <c r="Q124" s="1">
        <v>12</v>
      </c>
      <c r="R124" s="10">
        <v>86</v>
      </c>
      <c r="S124" s="15" t="s">
        <v>234</v>
      </c>
    </row>
    <row r="125" spans="1:19" ht="16">
      <c r="A125" s="10" t="s">
        <v>235</v>
      </c>
      <c r="B125" s="33" t="s">
        <v>489</v>
      </c>
      <c r="C125" s="15">
        <v>1</v>
      </c>
      <c r="D125" s="10" t="s">
        <v>120</v>
      </c>
      <c r="E125" s="55" t="s">
        <v>457</v>
      </c>
      <c r="F125" s="10">
        <v>0.5</v>
      </c>
      <c r="G125" s="15" t="s">
        <v>232</v>
      </c>
      <c r="H125" s="15" t="s">
        <v>416</v>
      </c>
      <c r="I125" s="15">
        <v>0.1</v>
      </c>
      <c r="J125" s="10" t="s">
        <v>121</v>
      </c>
      <c r="K125" s="15" t="s">
        <v>121</v>
      </c>
      <c r="L125" s="15">
        <v>0</v>
      </c>
      <c r="M125" s="15" t="s">
        <v>233</v>
      </c>
      <c r="N125" s="15" t="s">
        <v>431</v>
      </c>
      <c r="O125" s="15">
        <v>0.6</v>
      </c>
      <c r="P125" s="9">
        <v>140</v>
      </c>
      <c r="Q125" s="1">
        <v>12</v>
      </c>
      <c r="R125" s="10">
        <v>89</v>
      </c>
      <c r="S125" s="15" t="s">
        <v>234</v>
      </c>
    </row>
    <row r="126" spans="1:19" ht="16">
      <c r="A126" s="10" t="s">
        <v>236</v>
      </c>
      <c r="B126" s="33" t="s">
        <v>371</v>
      </c>
      <c r="C126" s="15">
        <v>1</v>
      </c>
      <c r="D126" s="10" t="s">
        <v>120</v>
      </c>
      <c r="E126" s="55" t="s">
        <v>457</v>
      </c>
      <c r="F126" s="10">
        <v>0.5</v>
      </c>
      <c r="G126" s="15" t="s">
        <v>232</v>
      </c>
      <c r="H126" s="15" t="s">
        <v>416</v>
      </c>
      <c r="I126" s="15">
        <v>0.01</v>
      </c>
      <c r="J126" s="10" t="s">
        <v>121</v>
      </c>
      <c r="K126" s="15" t="s">
        <v>121</v>
      </c>
      <c r="L126" s="15">
        <v>0</v>
      </c>
      <c r="M126" s="15" t="s">
        <v>233</v>
      </c>
      <c r="N126" s="15" t="s">
        <v>431</v>
      </c>
      <c r="O126" s="15">
        <v>0.6</v>
      </c>
      <c r="P126" s="9">
        <v>140</v>
      </c>
      <c r="Q126" s="1">
        <v>12</v>
      </c>
      <c r="R126" s="10">
        <v>99</v>
      </c>
      <c r="S126" s="15" t="s">
        <v>234</v>
      </c>
    </row>
    <row r="127" spans="1:19" ht="16">
      <c r="A127" s="10" t="s">
        <v>237</v>
      </c>
      <c r="B127" s="33" t="s">
        <v>490</v>
      </c>
      <c r="C127" s="15">
        <v>1</v>
      </c>
      <c r="D127" s="10" t="s">
        <v>120</v>
      </c>
      <c r="E127" s="55" t="s">
        <v>457</v>
      </c>
      <c r="F127" s="10">
        <v>0.5</v>
      </c>
      <c r="G127" s="15" t="s">
        <v>232</v>
      </c>
      <c r="H127" s="15" t="s">
        <v>416</v>
      </c>
      <c r="I127" s="15">
        <v>0.01</v>
      </c>
      <c r="J127" s="10" t="s">
        <v>121</v>
      </c>
      <c r="K127" s="15" t="s">
        <v>121</v>
      </c>
      <c r="L127" s="15">
        <v>0</v>
      </c>
      <c r="M127" s="15" t="s">
        <v>233</v>
      </c>
      <c r="N127" s="15" t="s">
        <v>431</v>
      </c>
      <c r="O127" s="15">
        <v>0.6</v>
      </c>
      <c r="P127" s="9">
        <v>140</v>
      </c>
      <c r="Q127" s="1">
        <v>12</v>
      </c>
      <c r="R127" s="10">
        <v>95</v>
      </c>
      <c r="S127" s="15" t="s">
        <v>234</v>
      </c>
    </row>
    <row r="128" spans="1:19" ht="16">
      <c r="A128" s="10" t="s">
        <v>238</v>
      </c>
      <c r="B128" s="33" t="s">
        <v>491</v>
      </c>
      <c r="C128" s="15">
        <v>1</v>
      </c>
      <c r="D128" s="10" t="s">
        <v>120</v>
      </c>
      <c r="E128" s="55" t="s">
        <v>457</v>
      </c>
      <c r="F128" s="10">
        <v>0.5</v>
      </c>
      <c r="G128" s="15" t="s">
        <v>232</v>
      </c>
      <c r="H128" s="15" t="s">
        <v>416</v>
      </c>
      <c r="I128" s="15">
        <v>0.1</v>
      </c>
      <c r="J128" s="10" t="s">
        <v>121</v>
      </c>
      <c r="K128" s="15" t="s">
        <v>121</v>
      </c>
      <c r="L128" s="15">
        <v>0</v>
      </c>
      <c r="M128" s="15" t="s">
        <v>233</v>
      </c>
      <c r="N128" s="15" t="s">
        <v>431</v>
      </c>
      <c r="O128" s="15">
        <v>0.6</v>
      </c>
      <c r="P128" s="9">
        <v>140</v>
      </c>
      <c r="Q128" s="1">
        <v>12</v>
      </c>
      <c r="R128" s="10">
        <v>80</v>
      </c>
      <c r="S128" s="15" t="s">
        <v>234</v>
      </c>
    </row>
    <row r="129" spans="1:19" ht="16">
      <c r="A129" s="10" t="s">
        <v>119</v>
      </c>
      <c r="B129" s="15" t="s">
        <v>369</v>
      </c>
      <c r="C129" s="15">
        <v>1</v>
      </c>
      <c r="D129" s="10" t="s">
        <v>239</v>
      </c>
      <c r="E129" s="10" t="s">
        <v>494</v>
      </c>
      <c r="F129" s="10">
        <v>1</v>
      </c>
      <c r="G129" s="15" t="s">
        <v>15</v>
      </c>
      <c r="H129" s="15" t="s">
        <v>392</v>
      </c>
      <c r="I129" s="15">
        <v>1.28</v>
      </c>
      <c r="J129" s="10" t="s">
        <v>162</v>
      </c>
      <c r="K129" s="15" t="s">
        <v>384</v>
      </c>
      <c r="L129" s="15">
        <v>2</v>
      </c>
      <c r="M129" s="15" t="s">
        <v>240</v>
      </c>
      <c r="N129" s="14" t="s">
        <v>437</v>
      </c>
      <c r="O129" s="15">
        <v>0.5</v>
      </c>
      <c r="P129" s="9">
        <v>60</v>
      </c>
      <c r="Q129" s="1">
        <v>0.17</v>
      </c>
      <c r="R129" s="10">
        <v>93</v>
      </c>
      <c r="S129" s="15" t="s">
        <v>241</v>
      </c>
    </row>
    <row r="130" spans="1:19" ht="16">
      <c r="A130" s="10" t="s">
        <v>242</v>
      </c>
      <c r="B130" s="33" t="s">
        <v>518</v>
      </c>
      <c r="C130" s="15">
        <v>1</v>
      </c>
      <c r="D130" s="10" t="s">
        <v>243</v>
      </c>
      <c r="E130" s="10" t="s">
        <v>495</v>
      </c>
      <c r="F130" s="10">
        <v>1</v>
      </c>
      <c r="G130" s="15" t="s">
        <v>15</v>
      </c>
      <c r="H130" s="15" t="s">
        <v>392</v>
      </c>
      <c r="I130" s="15">
        <v>1.28</v>
      </c>
      <c r="J130" s="10" t="s">
        <v>162</v>
      </c>
      <c r="K130" s="15" t="s">
        <v>384</v>
      </c>
      <c r="L130" s="15">
        <v>2</v>
      </c>
      <c r="M130" s="15" t="s">
        <v>240</v>
      </c>
      <c r="N130" s="14" t="s">
        <v>437</v>
      </c>
      <c r="O130" s="15">
        <v>0.5</v>
      </c>
      <c r="P130" s="9">
        <v>60</v>
      </c>
      <c r="Q130" s="1">
        <v>0.17</v>
      </c>
      <c r="R130" s="10">
        <v>89</v>
      </c>
      <c r="S130" s="15" t="s">
        <v>241</v>
      </c>
    </row>
    <row r="131" spans="1:19" ht="18">
      <c r="A131" s="10" t="s">
        <v>244</v>
      </c>
      <c r="B131" s="33" t="s">
        <v>520</v>
      </c>
      <c r="C131" s="15">
        <v>1</v>
      </c>
      <c r="D131" s="10" t="s">
        <v>245</v>
      </c>
      <c r="E131" s="10" t="s">
        <v>496</v>
      </c>
      <c r="F131" s="10">
        <v>1</v>
      </c>
      <c r="G131" s="15" t="s">
        <v>15</v>
      </c>
      <c r="H131" s="15" t="s">
        <v>392</v>
      </c>
      <c r="I131" s="15">
        <v>1.28</v>
      </c>
      <c r="J131" s="10" t="s">
        <v>162</v>
      </c>
      <c r="K131" s="15" t="s">
        <v>384</v>
      </c>
      <c r="L131" s="15">
        <v>2</v>
      </c>
      <c r="M131" s="15" t="s">
        <v>240</v>
      </c>
      <c r="N131" s="14" t="s">
        <v>437</v>
      </c>
      <c r="O131" s="15">
        <v>0.5</v>
      </c>
      <c r="P131" s="9">
        <v>60</v>
      </c>
      <c r="Q131" s="1">
        <v>0.5</v>
      </c>
      <c r="R131" s="10">
        <v>85</v>
      </c>
      <c r="S131" s="15" t="s">
        <v>241</v>
      </c>
    </row>
    <row r="132" spans="1:19" ht="16">
      <c r="A132" s="10" t="s">
        <v>246</v>
      </c>
      <c r="B132" s="33" t="s">
        <v>519</v>
      </c>
      <c r="C132" s="15">
        <v>1</v>
      </c>
      <c r="D132" s="10" t="s">
        <v>247</v>
      </c>
      <c r="E132" s="10" t="s">
        <v>466</v>
      </c>
      <c r="F132" s="10">
        <v>1</v>
      </c>
      <c r="G132" s="15" t="s">
        <v>15</v>
      </c>
      <c r="H132" s="15" t="s">
        <v>392</v>
      </c>
      <c r="I132" s="15">
        <v>1.28</v>
      </c>
      <c r="J132" s="10" t="s">
        <v>162</v>
      </c>
      <c r="K132" s="15" t="s">
        <v>384</v>
      </c>
      <c r="L132" s="15">
        <v>2</v>
      </c>
      <c r="M132" s="15" t="s">
        <v>240</v>
      </c>
      <c r="N132" s="14" t="s">
        <v>437</v>
      </c>
      <c r="O132" s="15">
        <v>0.5</v>
      </c>
      <c r="P132" s="9">
        <v>60</v>
      </c>
      <c r="Q132" s="1">
        <v>0.66</v>
      </c>
      <c r="R132" s="10">
        <v>92</v>
      </c>
      <c r="S132" s="15" t="s">
        <v>241</v>
      </c>
    </row>
    <row r="133" spans="1:19" ht="16">
      <c r="A133" s="10" t="s">
        <v>248</v>
      </c>
      <c r="B133" s="33" t="s">
        <v>521</v>
      </c>
      <c r="C133" s="15">
        <v>1</v>
      </c>
      <c r="D133" s="10" t="s">
        <v>249</v>
      </c>
      <c r="E133" s="10" t="s">
        <v>497</v>
      </c>
      <c r="F133" s="10">
        <v>1</v>
      </c>
      <c r="G133" s="15" t="s">
        <v>15</v>
      </c>
      <c r="H133" s="15" t="s">
        <v>392</v>
      </c>
      <c r="I133" s="15">
        <v>1.28</v>
      </c>
      <c r="J133" s="10" t="s">
        <v>162</v>
      </c>
      <c r="K133" s="15" t="s">
        <v>384</v>
      </c>
      <c r="L133" s="15">
        <v>2</v>
      </c>
      <c r="M133" s="15" t="s">
        <v>240</v>
      </c>
      <c r="N133" s="14" t="s">
        <v>437</v>
      </c>
      <c r="O133" s="15">
        <v>0.5</v>
      </c>
      <c r="P133" s="9">
        <v>60</v>
      </c>
      <c r="Q133" s="1">
        <v>0.5</v>
      </c>
      <c r="R133" s="10">
        <v>84</v>
      </c>
      <c r="S133" s="15" t="s">
        <v>241</v>
      </c>
    </row>
    <row r="134" spans="1:19" ht="16">
      <c r="A134" s="10" t="s">
        <v>250</v>
      </c>
      <c r="B134" s="33" t="s">
        <v>522</v>
      </c>
      <c r="C134" s="15">
        <v>1</v>
      </c>
      <c r="D134" s="10" t="s">
        <v>251</v>
      </c>
      <c r="E134" s="10" t="s">
        <v>498</v>
      </c>
      <c r="F134" s="10">
        <v>1</v>
      </c>
      <c r="G134" s="15" t="s">
        <v>252</v>
      </c>
      <c r="H134" s="15" t="s">
        <v>417</v>
      </c>
      <c r="I134" s="15">
        <v>1</v>
      </c>
      <c r="J134" s="10" t="s">
        <v>121</v>
      </c>
      <c r="K134" s="15" t="s">
        <v>121</v>
      </c>
      <c r="L134" s="15">
        <v>0</v>
      </c>
      <c r="M134" s="17" t="s">
        <v>48</v>
      </c>
      <c r="N134" s="15" t="s">
        <v>425</v>
      </c>
      <c r="O134" s="15">
        <v>1</v>
      </c>
      <c r="P134" s="9">
        <v>80</v>
      </c>
      <c r="Q134" s="1">
        <v>8</v>
      </c>
      <c r="R134" s="10">
        <v>50</v>
      </c>
      <c r="S134" s="15" t="s">
        <v>253</v>
      </c>
    </row>
    <row r="135" spans="1:19" ht="16">
      <c r="A135" s="10" t="s">
        <v>254</v>
      </c>
      <c r="B135" s="33" t="s">
        <v>523</v>
      </c>
      <c r="C135" s="15">
        <v>1</v>
      </c>
      <c r="D135" s="10" t="s">
        <v>255</v>
      </c>
      <c r="E135" s="10" t="s">
        <v>476</v>
      </c>
      <c r="F135" s="10">
        <v>1</v>
      </c>
      <c r="G135" s="15" t="s">
        <v>252</v>
      </c>
      <c r="H135" s="15" t="s">
        <v>417</v>
      </c>
      <c r="I135" s="15">
        <v>1</v>
      </c>
      <c r="J135" s="10" t="s">
        <v>121</v>
      </c>
      <c r="K135" s="15" t="s">
        <v>121</v>
      </c>
      <c r="L135" s="15">
        <v>0</v>
      </c>
      <c r="M135" s="17" t="s">
        <v>48</v>
      </c>
      <c r="N135" s="15" t="s">
        <v>425</v>
      </c>
      <c r="O135" s="15">
        <v>1</v>
      </c>
      <c r="P135" s="9">
        <v>80</v>
      </c>
      <c r="Q135" s="1">
        <v>6</v>
      </c>
      <c r="R135" s="10">
        <v>87</v>
      </c>
      <c r="S135" s="15" t="s">
        <v>253</v>
      </c>
    </row>
    <row r="136" spans="1:19" ht="16">
      <c r="A136" s="10" t="s">
        <v>256</v>
      </c>
      <c r="B136" s="33" t="s">
        <v>524</v>
      </c>
      <c r="C136" s="15">
        <v>1</v>
      </c>
      <c r="D136" s="10" t="s">
        <v>257</v>
      </c>
      <c r="E136" s="10" t="s">
        <v>499</v>
      </c>
      <c r="F136" s="10">
        <v>1</v>
      </c>
      <c r="G136" s="15" t="s">
        <v>252</v>
      </c>
      <c r="H136" s="15" t="s">
        <v>417</v>
      </c>
      <c r="I136" s="15">
        <v>1</v>
      </c>
      <c r="J136" s="10" t="s">
        <v>121</v>
      </c>
      <c r="K136" s="15" t="s">
        <v>121</v>
      </c>
      <c r="L136" s="15">
        <v>0</v>
      </c>
      <c r="M136" s="17" t="s">
        <v>48</v>
      </c>
      <c r="N136" s="15" t="s">
        <v>425</v>
      </c>
      <c r="O136" s="15">
        <v>1</v>
      </c>
      <c r="P136" s="9">
        <v>80</v>
      </c>
      <c r="Q136" s="1">
        <v>7</v>
      </c>
      <c r="R136" s="10">
        <v>62</v>
      </c>
      <c r="S136" s="15" t="s">
        <v>253</v>
      </c>
    </row>
    <row r="137" spans="1:19" ht="16">
      <c r="A137" s="10" t="s">
        <v>258</v>
      </c>
      <c r="B137" s="33" t="s">
        <v>525</v>
      </c>
      <c r="C137" s="15">
        <v>1</v>
      </c>
      <c r="D137" s="10" t="s">
        <v>255</v>
      </c>
      <c r="E137" s="10" t="s">
        <v>476</v>
      </c>
      <c r="F137" s="10">
        <v>1</v>
      </c>
      <c r="G137" s="15" t="s">
        <v>252</v>
      </c>
      <c r="H137" s="15" t="s">
        <v>417</v>
      </c>
      <c r="I137" s="15">
        <v>1</v>
      </c>
      <c r="J137" s="10" t="s">
        <v>121</v>
      </c>
      <c r="K137" s="15" t="s">
        <v>121</v>
      </c>
      <c r="L137" s="15">
        <v>0</v>
      </c>
      <c r="M137" s="17" t="s">
        <v>48</v>
      </c>
      <c r="N137" s="15" t="s">
        <v>425</v>
      </c>
      <c r="O137" s="15">
        <v>1</v>
      </c>
      <c r="P137" s="9">
        <v>80</v>
      </c>
      <c r="Q137" s="1">
        <v>24</v>
      </c>
      <c r="R137" s="10">
        <v>78</v>
      </c>
      <c r="S137" s="15" t="s">
        <v>253</v>
      </c>
    </row>
    <row r="138" spans="1:19" ht="16">
      <c r="A138" s="10" t="s">
        <v>259</v>
      </c>
      <c r="B138" s="33" t="s">
        <v>526</v>
      </c>
      <c r="C138" s="15">
        <v>1</v>
      </c>
      <c r="D138" s="10" t="s">
        <v>260</v>
      </c>
      <c r="E138" s="10" t="s">
        <v>500</v>
      </c>
      <c r="F138" s="10">
        <v>1</v>
      </c>
      <c r="G138" s="15" t="s">
        <v>252</v>
      </c>
      <c r="H138" s="15" t="s">
        <v>417</v>
      </c>
      <c r="I138" s="15">
        <v>1</v>
      </c>
      <c r="J138" s="10" t="s">
        <v>121</v>
      </c>
      <c r="K138" s="15" t="s">
        <v>121</v>
      </c>
      <c r="L138" s="15">
        <v>0</v>
      </c>
      <c r="M138" s="17" t="s">
        <v>48</v>
      </c>
      <c r="N138" s="15" t="s">
        <v>425</v>
      </c>
      <c r="O138" s="15">
        <v>1</v>
      </c>
      <c r="P138" s="9">
        <v>80</v>
      </c>
      <c r="Q138" s="1">
        <v>6</v>
      </c>
      <c r="R138" s="10">
        <v>51</v>
      </c>
      <c r="S138" s="15" t="s">
        <v>253</v>
      </c>
    </row>
    <row r="139" spans="1:19" ht="16">
      <c r="A139" s="10" t="s">
        <v>214</v>
      </c>
      <c r="B139" s="32" t="s">
        <v>449</v>
      </c>
      <c r="C139" s="15">
        <v>1.1000000000000001</v>
      </c>
      <c r="D139" s="10" t="s">
        <v>120</v>
      </c>
      <c r="E139" s="55" t="s">
        <v>457</v>
      </c>
      <c r="F139" s="10">
        <v>1</v>
      </c>
      <c r="G139" s="15" t="s">
        <v>28</v>
      </c>
      <c r="H139" s="14" t="s">
        <v>394</v>
      </c>
      <c r="I139" s="15">
        <v>1</v>
      </c>
      <c r="J139" s="10" t="s">
        <v>121</v>
      </c>
      <c r="K139" s="15" t="s">
        <v>121</v>
      </c>
      <c r="L139" s="15">
        <v>0</v>
      </c>
      <c r="M139" s="15" t="s">
        <v>174</v>
      </c>
      <c r="N139" s="15" t="s">
        <v>435</v>
      </c>
      <c r="O139" s="15">
        <v>0.625</v>
      </c>
      <c r="P139" s="9">
        <v>25</v>
      </c>
      <c r="Q139" s="1">
        <v>0.33</v>
      </c>
      <c r="R139" s="10">
        <v>99</v>
      </c>
      <c r="S139" s="15" t="s">
        <v>261</v>
      </c>
    </row>
    <row r="140" spans="1:19" ht="16">
      <c r="A140" s="10" t="s">
        <v>262</v>
      </c>
      <c r="B140" s="33" t="s">
        <v>527</v>
      </c>
      <c r="C140" s="15">
        <v>1.1000000000000001</v>
      </c>
      <c r="D140" s="10" t="s">
        <v>120</v>
      </c>
      <c r="E140" s="55" t="s">
        <v>457</v>
      </c>
      <c r="F140" s="10">
        <v>1</v>
      </c>
      <c r="G140" s="15" t="s">
        <v>28</v>
      </c>
      <c r="H140" s="14" t="s">
        <v>394</v>
      </c>
      <c r="I140" s="15">
        <v>1</v>
      </c>
      <c r="J140" s="10" t="s">
        <v>121</v>
      </c>
      <c r="K140" s="15" t="s">
        <v>121</v>
      </c>
      <c r="L140" s="15">
        <v>0</v>
      </c>
      <c r="M140" s="15" t="s">
        <v>174</v>
      </c>
      <c r="N140" s="15" t="s">
        <v>435</v>
      </c>
      <c r="O140" s="15">
        <v>0.625</v>
      </c>
      <c r="P140" s="9">
        <v>25</v>
      </c>
      <c r="Q140" s="1">
        <v>0.33</v>
      </c>
      <c r="R140" s="10">
        <v>85</v>
      </c>
      <c r="S140" s="15" t="s">
        <v>261</v>
      </c>
    </row>
    <row r="141" spans="1:19" ht="16">
      <c r="A141" s="10" t="s">
        <v>263</v>
      </c>
      <c r="B141" s="33" t="s">
        <v>528</v>
      </c>
      <c r="C141" s="15">
        <v>1.1000000000000001</v>
      </c>
      <c r="D141" s="10" t="s">
        <v>120</v>
      </c>
      <c r="E141" s="55" t="s">
        <v>457</v>
      </c>
      <c r="F141" s="10">
        <v>1</v>
      </c>
      <c r="G141" s="15" t="s">
        <v>28</v>
      </c>
      <c r="H141" s="14" t="s">
        <v>394</v>
      </c>
      <c r="I141" s="15">
        <v>1</v>
      </c>
      <c r="J141" s="10" t="s">
        <v>121</v>
      </c>
      <c r="K141" s="15" t="s">
        <v>121</v>
      </c>
      <c r="L141" s="15">
        <v>0</v>
      </c>
      <c r="M141" s="15" t="s">
        <v>174</v>
      </c>
      <c r="N141" s="15" t="s">
        <v>435</v>
      </c>
      <c r="O141" s="15">
        <v>0.625</v>
      </c>
      <c r="P141" s="9">
        <v>25</v>
      </c>
      <c r="Q141" s="1">
        <v>0.33</v>
      </c>
      <c r="R141" s="10">
        <v>91</v>
      </c>
      <c r="S141" s="15" t="s">
        <v>261</v>
      </c>
    </row>
    <row r="142" spans="1:19" ht="16">
      <c r="A142" s="10" t="s">
        <v>119</v>
      </c>
      <c r="B142" s="15" t="s">
        <v>369</v>
      </c>
      <c r="C142" s="15">
        <v>1.1000000000000001</v>
      </c>
      <c r="D142" s="10" t="s">
        <v>264</v>
      </c>
      <c r="E142" s="10" t="s">
        <v>516</v>
      </c>
      <c r="F142" s="10">
        <v>1</v>
      </c>
      <c r="G142" s="15" t="s">
        <v>28</v>
      </c>
      <c r="H142" s="14" t="s">
        <v>394</v>
      </c>
      <c r="I142" s="15">
        <v>1</v>
      </c>
      <c r="J142" s="10" t="s">
        <v>121</v>
      </c>
      <c r="K142" s="15" t="s">
        <v>121</v>
      </c>
      <c r="L142" s="15">
        <v>0</v>
      </c>
      <c r="M142" s="15" t="s">
        <v>174</v>
      </c>
      <c r="N142" s="15" t="s">
        <v>435</v>
      </c>
      <c r="O142" s="15">
        <v>0.625</v>
      </c>
      <c r="P142" s="9">
        <v>25</v>
      </c>
      <c r="Q142" s="1">
        <v>0.33</v>
      </c>
      <c r="R142" s="10">
        <v>68</v>
      </c>
      <c r="S142" s="15" t="s">
        <v>261</v>
      </c>
    </row>
    <row r="143" spans="1:19" ht="16">
      <c r="A143" s="10" t="s">
        <v>265</v>
      </c>
      <c r="B143" s="33" t="s">
        <v>529</v>
      </c>
      <c r="C143" s="15">
        <v>1.1000000000000001</v>
      </c>
      <c r="D143" s="10" t="s">
        <v>120</v>
      </c>
      <c r="E143" s="55" t="s">
        <v>457</v>
      </c>
      <c r="F143" s="10">
        <v>1</v>
      </c>
      <c r="G143" s="15" t="s">
        <v>28</v>
      </c>
      <c r="H143" s="14" t="s">
        <v>394</v>
      </c>
      <c r="I143" s="15">
        <v>1</v>
      </c>
      <c r="J143" s="10" t="s">
        <v>121</v>
      </c>
      <c r="K143" s="15" t="s">
        <v>121</v>
      </c>
      <c r="L143" s="15">
        <v>0</v>
      </c>
      <c r="M143" s="15" t="s">
        <v>174</v>
      </c>
      <c r="N143" s="15" t="s">
        <v>435</v>
      </c>
      <c r="O143" s="15">
        <v>0.625</v>
      </c>
      <c r="P143" s="9">
        <v>25</v>
      </c>
      <c r="Q143" s="1">
        <v>0.33</v>
      </c>
      <c r="R143" s="10">
        <v>69</v>
      </c>
      <c r="S143" s="15" t="s">
        <v>261</v>
      </c>
    </row>
    <row r="144" spans="1:19" ht="16">
      <c r="A144" s="10" t="s">
        <v>266</v>
      </c>
      <c r="B144" s="33" t="s">
        <v>530</v>
      </c>
      <c r="C144" s="15">
        <v>1</v>
      </c>
      <c r="D144" s="10" t="s">
        <v>267</v>
      </c>
      <c r="E144" s="10" t="s">
        <v>517</v>
      </c>
      <c r="F144" s="10">
        <v>1</v>
      </c>
      <c r="G144" s="15" t="s">
        <v>268</v>
      </c>
      <c r="H144" s="15" t="s">
        <v>418</v>
      </c>
      <c r="I144" s="15">
        <v>1.23</v>
      </c>
      <c r="J144" s="44" t="s">
        <v>196</v>
      </c>
      <c r="K144" s="14" t="s">
        <v>381</v>
      </c>
      <c r="L144" s="15">
        <v>2.52</v>
      </c>
      <c r="M144" s="15" t="s">
        <v>40</v>
      </c>
      <c r="N144" s="14" t="s">
        <v>423</v>
      </c>
      <c r="O144" s="15">
        <v>3.4000000000000002E-2</v>
      </c>
      <c r="P144" s="9">
        <v>70</v>
      </c>
      <c r="Q144" s="1">
        <v>2</v>
      </c>
      <c r="R144" s="10">
        <v>84</v>
      </c>
      <c r="S144" s="15" t="s">
        <v>269</v>
      </c>
    </row>
    <row r="145" spans="1:19" ht="16">
      <c r="A145" s="26" t="s">
        <v>372</v>
      </c>
      <c r="B145" s="33" t="s">
        <v>371</v>
      </c>
      <c r="C145" s="15">
        <v>1</v>
      </c>
      <c r="D145" s="10" t="s">
        <v>247</v>
      </c>
      <c r="E145" s="10" t="s">
        <v>466</v>
      </c>
      <c r="F145" s="10">
        <v>1</v>
      </c>
      <c r="G145" s="15" t="s">
        <v>268</v>
      </c>
      <c r="H145" s="15" t="s">
        <v>418</v>
      </c>
      <c r="I145" s="15">
        <v>1.23</v>
      </c>
      <c r="J145" s="44" t="s">
        <v>196</v>
      </c>
      <c r="K145" s="14" t="s">
        <v>381</v>
      </c>
      <c r="L145" s="15">
        <v>2.52</v>
      </c>
      <c r="M145" s="15" t="s">
        <v>40</v>
      </c>
      <c r="N145" s="14" t="s">
        <v>423</v>
      </c>
      <c r="O145" s="15">
        <v>3.4000000000000002E-2</v>
      </c>
      <c r="P145" s="9">
        <v>70</v>
      </c>
      <c r="Q145" s="1">
        <v>2</v>
      </c>
      <c r="R145" s="10">
        <v>92</v>
      </c>
      <c r="S145" s="15" t="s">
        <v>269</v>
      </c>
    </row>
    <row r="146" spans="1:19" ht="16">
      <c r="A146" s="10" t="s">
        <v>119</v>
      </c>
      <c r="B146" s="15" t="s">
        <v>369</v>
      </c>
      <c r="C146" s="15">
        <v>1</v>
      </c>
      <c r="D146" s="10" t="s">
        <v>270</v>
      </c>
      <c r="E146" s="10" t="s">
        <v>501</v>
      </c>
      <c r="F146" s="10">
        <v>1</v>
      </c>
      <c r="G146" s="15" t="s">
        <v>268</v>
      </c>
      <c r="H146" s="15" t="s">
        <v>418</v>
      </c>
      <c r="I146" s="15">
        <v>1.23</v>
      </c>
      <c r="J146" s="44" t="s">
        <v>196</v>
      </c>
      <c r="K146" s="14" t="s">
        <v>381</v>
      </c>
      <c r="L146" s="15">
        <v>2.52</v>
      </c>
      <c r="M146" s="15" t="s">
        <v>40</v>
      </c>
      <c r="N146" s="14" t="s">
        <v>423</v>
      </c>
      <c r="O146" s="15">
        <v>3.4000000000000002E-2</v>
      </c>
      <c r="P146" s="9">
        <v>70</v>
      </c>
      <c r="Q146" s="1">
        <v>4</v>
      </c>
      <c r="R146" s="10">
        <v>82</v>
      </c>
      <c r="S146" s="15" t="s">
        <v>269</v>
      </c>
    </row>
    <row r="147" spans="1:19" ht="16">
      <c r="A147" s="10" t="s">
        <v>271</v>
      </c>
      <c r="B147" s="33" t="s">
        <v>531</v>
      </c>
      <c r="C147" s="15">
        <v>1</v>
      </c>
      <c r="D147" s="10" t="s">
        <v>247</v>
      </c>
      <c r="E147" s="10" t="s">
        <v>466</v>
      </c>
      <c r="F147" s="10">
        <v>1</v>
      </c>
      <c r="G147" s="15" t="s">
        <v>268</v>
      </c>
      <c r="H147" s="15" t="s">
        <v>418</v>
      </c>
      <c r="I147" s="15">
        <v>1.23</v>
      </c>
      <c r="J147" s="44" t="s">
        <v>196</v>
      </c>
      <c r="K147" s="14" t="s">
        <v>381</v>
      </c>
      <c r="L147" s="15">
        <v>2.52</v>
      </c>
      <c r="M147" s="15" t="s">
        <v>40</v>
      </c>
      <c r="N147" s="14" t="s">
        <v>423</v>
      </c>
      <c r="O147" s="15">
        <v>3.4000000000000002E-2</v>
      </c>
      <c r="P147" s="9">
        <v>70</v>
      </c>
      <c r="Q147" s="1">
        <v>4</v>
      </c>
      <c r="R147" s="10">
        <v>63</v>
      </c>
      <c r="S147" s="15" t="s">
        <v>269</v>
      </c>
    </row>
    <row r="148" spans="1:19" ht="16">
      <c r="A148" s="10" t="s">
        <v>119</v>
      </c>
      <c r="B148" s="15" t="s">
        <v>369</v>
      </c>
      <c r="C148" s="15">
        <v>1</v>
      </c>
      <c r="D148" s="10" t="s">
        <v>272</v>
      </c>
      <c r="E148" s="10" t="s">
        <v>502</v>
      </c>
      <c r="F148" s="10">
        <v>1</v>
      </c>
      <c r="G148" s="15" t="s">
        <v>268</v>
      </c>
      <c r="H148" s="15" t="s">
        <v>418</v>
      </c>
      <c r="I148" s="15">
        <v>1.23</v>
      </c>
      <c r="J148" s="44" t="s">
        <v>196</v>
      </c>
      <c r="K148" s="14" t="s">
        <v>381</v>
      </c>
      <c r="L148" s="15">
        <v>2.52</v>
      </c>
      <c r="M148" s="15" t="s">
        <v>40</v>
      </c>
      <c r="N148" s="14" t="s">
        <v>423</v>
      </c>
      <c r="O148" s="15">
        <v>3.4000000000000002E-2</v>
      </c>
      <c r="P148" s="9">
        <v>70</v>
      </c>
      <c r="Q148" s="1">
        <v>4</v>
      </c>
      <c r="R148" s="10">
        <v>48</v>
      </c>
      <c r="S148" s="15" t="s">
        <v>269</v>
      </c>
    </row>
    <row r="149" spans="1:19" ht="16">
      <c r="A149" s="10" t="s">
        <v>273</v>
      </c>
      <c r="B149" s="33" t="s">
        <v>532</v>
      </c>
      <c r="C149" s="15">
        <v>4</v>
      </c>
      <c r="D149" s="10" t="s">
        <v>274</v>
      </c>
      <c r="E149" s="10" t="s">
        <v>503</v>
      </c>
      <c r="F149" s="10">
        <v>1</v>
      </c>
      <c r="G149" s="15" t="s">
        <v>275</v>
      </c>
      <c r="H149" s="15" t="s">
        <v>419</v>
      </c>
      <c r="I149" s="15">
        <v>1</v>
      </c>
      <c r="J149" s="10" t="s">
        <v>121</v>
      </c>
      <c r="K149" s="15" t="s">
        <v>121</v>
      </c>
      <c r="L149" s="15">
        <v>0</v>
      </c>
      <c r="M149" s="15" t="s">
        <v>153</v>
      </c>
      <c r="N149" s="15" t="s">
        <v>430</v>
      </c>
      <c r="O149" s="15">
        <v>1</v>
      </c>
      <c r="P149" s="9">
        <v>110</v>
      </c>
      <c r="Q149" s="1">
        <v>12</v>
      </c>
      <c r="R149" s="10">
        <v>83</v>
      </c>
      <c r="S149" s="15" t="s">
        <v>276</v>
      </c>
    </row>
    <row r="150" spans="1:19" ht="16">
      <c r="A150" s="10" t="s">
        <v>277</v>
      </c>
      <c r="B150" s="33" t="s">
        <v>533</v>
      </c>
      <c r="C150" s="15">
        <v>3</v>
      </c>
      <c r="D150" s="10" t="s">
        <v>120</v>
      </c>
      <c r="E150" s="55" t="s">
        <v>457</v>
      </c>
      <c r="F150" s="10">
        <v>1</v>
      </c>
      <c r="G150" s="15" t="s">
        <v>275</v>
      </c>
      <c r="H150" s="15" t="s">
        <v>419</v>
      </c>
      <c r="I150" s="15">
        <v>1</v>
      </c>
      <c r="J150" s="10" t="s">
        <v>121</v>
      </c>
      <c r="K150" s="15" t="s">
        <v>121</v>
      </c>
      <c r="L150" s="15">
        <v>0</v>
      </c>
      <c r="M150" s="15" t="s">
        <v>153</v>
      </c>
      <c r="N150" s="48" t="s">
        <v>430</v>
      </c>
      <c r="O150" s="15">
        <v>1</v>
      </c>
      <c r="P150" s="9">
        <v>110</v>
      </c>
      <c r="Q150" s="1">
        <v>12</v>
      </c>
      <c r="R150" s="10">
        <v>41</v>
      </c>
      <c r="S150" s="15" t="s">
        <v>276</v>
      </c>
    </row>
    <row r="151" spans="1:19" ht="16">
      <c r="A151" s="10" t="s">
        <v>119</v>
      </c>
      <c r="B151" s="15" t="s">
        <v>369</v>
      </c>
      <c r="C151" s="15">
        <v>4</v>
      </c>
      <c r="D151" s="10" t="s">
        <v>278</v>
      </c>
      <c r="E151" s="10" t="s">
        <v>504</v>
      </c>
      <c r="F151" s="10">
        <v>1</v>
      </c>
      <c r="G151" s="15" t="s">
        <v>275</v>
      </c>
      <c r="H151" s="15" t="s">
        <v>419</v>
      </c>
      <c r="I151" s="15">
        <v>1</v>
      </c>
      <c r="J151" s="10" t="s">
        <v>121</v>
      </c>
      <c r="K151" s="15" t="s">
        <v>121</v>
      </c>
      <c r="L151" s="15">
        <v>0</v>
      </c>
      <c r="M151" s="15" t="s">
        <v>153</v>
      </c>
      <c r="N151" s="15" t="s">
        <v>430</v>
      </c>
      <c r="O151" s="15">
        <v>1</v>
      </c>
      <c r="P151" s="9">
        <v>110</v>
      </c>
      <c r="Q151" s="1">
        <v>12</v>
      </c>
      <c r="R151" s="10">
        <v>90</v>
      </c>
      <c r="S151" s="15" t="s">
        <v>276</v>
      </c>
    </row>
    <row r="152" spans="1:19" ht="16">
      <c r="A152" s="10" t="s">
        <v>119</v>
      </c>
      <c r="B152" s="15" t="s">
        <v>369</v>
      </c>
      <c r="C152" s="15">
        <v>4</v>
      </c>
      <c r="D152" s="10" t="s">
        <v>279</v>
      </c>
      <c r="E152" s="10" t="s">
        <v>479</v>
      </c>
      <c r="F152" s="10">
        <v>1</v>
      </c>
      <c r="G152" s="15" t="s">
        <v>275</v>
      </c>
      <c r="H152" s="15" t="s">
        <v>419</v>
      </c>
      <c r="I152" s="15">
        <v>1</v>
      </c>
      <c r="J152" s="10" t="s">
        <v>121</v>
      </c>
      <c r="K152" s="15" t="s">
        <v>121</v>
      </c>
      <c r="L152" s="15">
        <v>0</v>
      </c>
      <c r="M152" s="15" t="s">
        <v>153</v>
      </c>
      <c r="N152" s="15" t="s">
        <v>430</v>
      </c>
      <c r="O152" s="15">
        <v>1</v>
      </c>
      <c r="P152" s="9">
        <v>110</v>
      </c>
      <c r="Q152" s="1">
        <v>12</v>
      </c>
      <c r="R152" s="10">
        <v>97</v>
      </c>
      <c r="S152" s="15" t="s">
        <v>276</v>
      </c>
    </row>
    <row r="153" spans="1:19" ht="16">
      <c r="A153" s="63" t="s">
        <v>372</v>
      </c>
      <c r="B153" s="71" t="s">
        <v>371</v>
      </c>
      <c r="C153" s="62">
        <v>4</v>
      </c>
      <c r="D153" s="70" t="s">
        <v>570</v>
      </c>
      <c r="E153" s="63" t="s">
        <v>571</v>
      </c>
      <c r="F153" s="63">
        <v>1</v>
      </c>
      <c r="G153" s="62" t="s">
        <v>275</v>
      </c>
      <c r="H153" s="62" t="s">
        <v>419</v>
      </c>
      <c r="I153" s="62">
        <v>1</v>
      </c>
      <c r="J153" s="63" t="s">
        <v>121</v>
      </c>
      <c r="K153" s="62" t="s">
        <v>121</v>
      </c>
      <c r="L153" s="62">
        <v>0</v>
      </c>
      <c r="M153" s="62" t="s">
        <v>153</v>
      </c>
      <c r="N153" s="62" t="s">
        <v>430</v>
      </c>
      <c r="O153" s="62">
        <v>1</v>
      </c>
      <c r="P153" s="66">
        <v>110</v>
      </c>
      <c r="Q153" s="67">
        <v>12</v>
      </c>
      <c r="R153" s="63">
        <v>87</v>
      </c>
      <c r="S153" s="62" t="s">
        <v>276</v>
      </c>
    </row>
    <row r="154" spans="1:19" ht="16">
      <c r="A154" s="26" t="s">
        <v>165</v>
      </c>
      <c r="B154" s="15" t="s">
        <v>370</v>
      </c>
      <c r="C154" s="15">
        <v>1.1000000000000001</v>
      </c>
      <c r="D154" s="10" t="s">
        <v>280</v>
      </c>
      <c r="E154" s="10" t="s">
        <v>505</v>
      </c>
      <c r="F154" s="10">
        <v>1</v>
      </c>
      <c r="G154" s="15" t="s">
        <v>281</v>
      </c>
      <c r="H154" s="15" t="s">
        <v>395</v>
      </c>
      <c r="I154" s="15">
        <v>1.1000000000000001</v>
      </c>
      <c r="J154" s="10" t="s">
        <v>282</v>
      </c>
      <c r="K154" s="15" t="s">
        <v>385</v>
      </c>
      <c r="L154" s="15">
        <v>3.1</v>
      </c>
      <c r="M154" s="15" t="s">
        <v>283</v>
      </c>
      <c r="N154" s="15" t="s">
        <v>438</v>
      </c>
      <c r="O154" s="15">
        <v>0.5</v>
      </c>
      <c r="P154" s="9">
        <v>25</v>
      </c>
      <c r="Q154" s="1">
        <v>2</v>
      </c>
      <c r="R154" s="10">
        <v>97</v>
      </c>
      <c r="S154" s="15" t="s">
        <v>284</v>
      </c>
    </row>
    <row r="155" spans="1:19" ht="16">
      <c r="A155" s="10" t="s">
        <v>285</v>
      </c>
      <c r="B155" s="33" t="s">
        <v>534</v>
      </c>
      <c r="C155" s="15">
        <v>1.1000000000000001</v>
      </c>
      <c r="D155" s="10" t="s">
        <v>286</v>
      </c>
      <c r="E155" s="10" t="s">
        <v>507</v>
      </c>
      <c r="F155" s="10">
        <v>1</v>
      </c>
      <c r="G155" s="15" t="s">
        <v>281</v>
      </c>
      <c r="H155" s="15" t="s">
        <v>395</v>
      </c>
      <c r="I155" s="15">
        <v>1.1000000000000001</v>
      </c>
      <c r="J155" s="10" t="s">
        <v>282</v>
      </c>
      <c r="K155" s="15" t="s">
        <v>385</v>
      </c>
      <c r="L155" s="15">
        <v>3.1</v>
      </c>
      <c r="M155" s="15" t="s">
        <v>283</v>
      </c>
      <c r="N155" s="15" t="s">
        <v>438</v>
      </c>
      <c r="O155" s="15">
        <v>0.5</v>
      </c>
      <c r="P155" s="9">
        <v>25</v>
      </c>
      <c r="Q155" s="1">
        <v>0.25</v>
      </c>
      <c r="R155" s="10">
        <v>99</v>
      </c>
      <c r="S155" s="15" t="s">
        <v>284</v>
      </c>
    </row>
    <row r="156" spans="1:19" ht="16">
      <c r="A156" s="10" t="s">
        <v>223</v>
      </c>
      <c r="B156" s="33" t="s">
        <v>452</v>
      </c>
      <c r="C156" s="15">
        <v>1.1000000000000001</v>
      </c>
      <c r="D156" s="10" t="s">
        <v>287</v>
      </c>
      <c r="E156" s="10" t="s">
        <v>508</v>
      </c>
      <c r="F156" s="10">
        <v>1</v>
      </c>
      <c r="G156" s="15" t="s">
        <v>281</v>
      </c>
      <c r="H156" s="15" t="s">
        <v>395</v>
      </c>
      <c r="I156" s="15">
        <v>1.1000000000000001</v>
      </c>
      <c r="J156" s="10" t="s">
        <v>282</v>
      </c>
      <c r="K156" s="15" t="s">
        <v>385</v>
      </c>
      <c r="L156" s="15">
        <v>3.1</v>
      </c>
      <c r="M156" s="15" t="s">
        <v>283</v>
      </c>
      <c r="N156" s="15" t="s">
        <v>438</v>
      </c>
      <c r="O156" s="15">
        <v>0.5</v>
      </c>
      <c r="P156" s="9">
        <v>25</v>
      </c>
      <c r="Q156" s="1">
        <v>1</v>
      </c>
      <c r="R156" s="10">
        <v>85</v>
      </c>
      <c r="S156" s="15" t="s">
        <v>284</v>
      </c>
    </row>
    <row r="157" spans="1:19" ht="16">
      <c r="A157" s="26" t="s">
        <v>165</v>
      </c>
      <c r="B157" s="15" t="s">
        <v>370</v>
      </c>
      <c r="C157" s="15">
        <v>1.1000000000000001</v>
      </c>
      <c r="D157" s="10" t="s">
        <v>288</v>
      </c>
      <c r="E157" s="10" t="s">
        <v>509</v>
      </c>
      <c r="F157" s="10">
        <v>1</v>
      </c>
      <c r="G157" s="15" t="s">
        <v>281</v>
      </c>
      <c r="H157" s="15" t="s">
        <v>395</v>
      </c>
      <c r="I157" s="15">
        <v>1.1000000000000001</v>
      </c>
      <c r="J157" s="10" t="s">
        <v>282</v>
      </c>
      <c r="K157" s="15" t="s">
        <v>385</v>
      </c>
      <c r="L157" s="15">
        <v>3.1</v>
      </c>
      <c r="M157" s="15" t="s">
        <v>283</v>
      </c>
      <c r="N157" s="15" t="s">
        <v>438</v>
      </c>
      <c r="O157" s="15">
        <v>0.5</v>
      </c>
      <c r="P157" s="9">
        <v>25</v>
      </c>
      <c r="Q157" s="1">
        <v>2</v>
      </c>
      <c r="R157" s="10">
        <v>93</v>
      </c>
      <c r="S157" s="15" t="s">
        <v>284</v>
      </c>
    </row>
    <row r="158" spans="1:19" ht="16">
      <c r="A158" s="10" t="s">
        <v>289</v>
      </c>
      <c r="B158" s="33" t="s">
        <v>535</v>
      </c>
      <c r="C158" s="15">
        <v>1.1000000000000001</v>
      </c>
      <c r="D158" s="10" t="s">
        <v>280</v>
      </c>
      <c r="E158" s="10" t="s">
        <v>505</v>
      </c>
      <c r="F158" s="10">
        <v>1</v>
      </c>
      <c r="G158" s="15" t="s">
        <v>281</v>
      </c>
      <c r="H158" s="15" t="s">
        <v>395</v>
      </c>
      <c r="I158" s="15">
        <v>1.1000000000000001</v>
      </c>
      <c r="J158" s="10" t="s">
        <v>282</v>
      </c>
      <c r="K158" s="15" t="s">
        <v>385</v>
      </c>
      <c r="L158" s="15">
        <v>3.1</v>
      </c>
      <c r="M158" s="15" t="s">
        <v>283</v>
      </c>
      <c r="N158" s="15" t="s">
        <v>438</v>
      </c>
      <c r="O158" s="15">
        <v>0.5</v>
      </c>
      <c r="P158" s="9">
        <v>25</v>
      </c>
      <c r="Q158" s="1">
        <v>4</v>
      </c>
      <c r="R158" s="10">
        <v>86</v>
      </c>
      <c r="S158" s="15" t="s">
        <v>284</v>
      </c>
    </row>
    <row r="159" spans="1:19" ht="16">
      <c r="A159" s="10" t="s">
        <v>290</v>
      </c>
      <c r="B159" s="33" t="s">
        <v>536</v>
      </c>
      <c r="C159" s="15">
        <v>1.1000000000000001</v>
      </c>
      <c r="D159" s="10" t="s">
        <v>286</v>
      </c>
      <c r="E159" s="10" t="s">
        <v>507</v>
      </c>
      <c r="F159" s="10">
        <v>1</v>
      </c>
      <c r="G159" s="15" t="s">
        <v>281</v>
      </c>
      <c r="H159" s="15" t="s">
        <v>395</v>
      </c>
      <c r="I159" s="15">
        <v>1.1000000000000001</v>
      </c>
      <c r="J159" s="10" t="s">
        <v>282</v>
      </c>
      <c r="K159" s="15" t="s">
        <v>385</v>
      </c>
      <c r="L159" s="15">
        <v>3.1</v>
      </c>
      <c r="M159" s="15" t="s">
        <v>283</v>
      </c>
      <c r="N159" s="15" t="s">
        <v>438</v>
      </c>
      <c r="O159" s="15">
        <v>0.5</v>
      </c>
      <c r="P159" s="9">
        <v>25</v>
      </c>
      <c r="Q159" s="1">
        <v>2</v>
      </c>
      <c r="R159" s="10">
        <v>95</v>
      </c>
      <c r="S159" s="15" t="s">
        <v>284</v>
      </c>
    </row>
    <row r="160" spans="1:19" ht="16">
      <c r="A160" s="10" t="s">
        <v>254</v>
      </c>
      <c r="B160" s="33" t="s">
        <v>523</v>
      </c>
      <c r="C160" s="15">
        <v>1.1000000000000001</v>
      </c>
      <c r="D160" s="10" t="s">
        <v>291</v>
      </c>
      <c r="E160" s="10" t="s">
        <v>510</v>
      </c>
      <c r="F160" s="10">
        <v>1</v>
      </c>
      <c r="G160" s="15" t="s">
        <v>281</v>
      </c>
      <c r="H160" s="15" t="s">
        <v>395</v>
      </c>
      <c r="I160" s="15">
        <v>1.1000000000000001</v>
      </c>
      <c r="J160" s="10" t="s">
        <v>282</v>
      </c>
      <c r="K160" s="15" t="s">
        <v>385</v>
      </c>
      <c r="L160" s="15">
        <v>3.1</v>
      </c>
      <c r="M160" s="15" t="s">
        <v>283</v>
      </c>
      <c r="N160" s="15" t="s">
        <v>438</v>
      </c>
      <c r="O160" s="15">
        <v>0.5</v>
      </c>
      <c r="P160" s="9">
        <v>25</v>
      </c>
      <c r="Q160" s="1">
        <v>2</v>
      </c>
      <c r="R160" s="10">
        <v>95</v>
      </c>
      <c r="S160" s="15" t="s">
        <v>284</v>
      </c>
    </row>
    <row r="161" spans="1:19" ht="16">
      <c r="A161" s="26" t="s">
        <v>165</v>
      </c>
      <c r="B161" s="15" t="s">
        <v>370</v>
      </c>
      <c r="C161" s="15">
        <v>1.1000000000000001</v>
      </c>
      <c r="D161" s="10" t="s">
        <v>292</v>
      </c>
      <c r="E161" s="10" t="s">
        <v>511</v>
      </c>
      <c r="F161" s="10">
        <v>1</v>
      </c>
      <c r="G161" s="15" t="s">
        <v>281</v>
      </c>
      <c r="H161" s="15" t="s">
        <v>395</v>
      </c>
      <c r="I161" s="15">
        <v>1.1000000000000001</v>
      </c>
      <c r="J161" s="10" t="s">
        <v>282</v>
      </c>
      <c r="K161" s="15" t="s">
        <v>385</v>
      </c>
      <c r="L161" s="15">
        <v>3.1</v>
      </c>
      <c r="M161" s="15" t="s">
        <v>283</v>
      </c>
      <c r="N161" s="15" t="s">
        <v>438</v>
      </c>
      <c r="O161" s="15">
        <v>0.5</v>
      </c>
      <c r="P161" s="9">
        <v>25</v>
      </c>
      <c r="Q161" s="1">
        <v>4</v>
      </c>
      <c r="R161" s="10">
        <v>99</v>
      </c>
      <c r="S161" s="15" t="s">
        <v>284</v>
      </c>
    </row>
    <row r="162" spans="1:19" ht="16">
      <c r="A162" s="10" t="s">
        <v>293</v>
      </c>
      <c r="B162" s="33" t="s">
        <v>537</v>
      </c>
      <c r="C162" s="15">
        <v>1.1000000000000001</v>
      </c>
      <c r="D162" s="10" t="s">
        <v>294</v>
      </c>
      <c r="E162" s="10" t="s">
        <v>512</v>
      </c>
      <c r="F162" s="10">
        <v>1</v>
      </c>
      <c r="G162" s="15" t="s">
        <v>281</v>
      </c>
      <c r="H162" s="15" t="s">
        <v>395</v>
      </c>
      <c r="I162" s="15">
        <v>1.1000000000000001</v>
      </c>
      <c r="J162" s="10" t="s">
        <v>282</v>
      </c>
      <c r="K162" s="15" t="s">
        <v>385</v>
      </c>
      <c r="L162" s="15">
        <v>31</v>
      </c>
      <c r="M162" s="15" t="s">
        <v>283</v>
      </c>
      <c r="N162" s="15" t="s">
        <v>438</v>
      </c>
      <c r="O162" s="15">
        <v>0.5</v>
      </c>
      <c r="P162" s="9">
        <v>25</v>
      </c>
      <c r="Q162" s="1">
        <v>2</v>
      </c>
      <c r="R162" s="10">
        <v>92</v>
      </c>
      <c r="S162" s="15" t="s">
        <v>284</v>
      </c>
    </row>
    <row r="163" spans="1:19" ht="16">
      <c r="A163" s="10" t="s">
        <v>295</v>
      </c>
      <c r="B163" s="33" t="s">
        <v>538</v>
      </c>
      <c r="C163" s="15">
        <v>1.1000000000000001</v>
      </c>
      <c r="D163" s="10" t="s">
        <v>291</v>
      </c>
      <c r="E163" s="10" t="s">
        <v>510</v>
      </c>
      <c r="F163" s="10">
        <v>1</v>
      </c>
      <c r="G163" s="15" t="s">
        <v>281</v>
      </c>
      <c r="H163" s="15" t="s">
        <v>395</v>
      </c>
      <c r="I163" s="15">
        <v>1.1000000000000001</v>
      </c>
      <c r="J163" s="10" t="s">
        <v>282</v>
      </c>
      <c r="K163" s="15" t="s">
        <v>385</v>
      </c>
      <c r="L163" s="15">
        <v>3.1</v>
      </c>
      <c r="M163" s="15" t="s">
        <v>283</v>
      </c>
      <c r="N163" s="15" t="s">
        <v>438</v>
      </c>
      <c r="O163" s="15">
        <v>0.5</v>
      </c>
      <c r="P163" s="9">
        <v>25</v>
      </c>
      <c r="Q163" s="1">
        <v>0.5</v>
      </c>
      <c r="R163" s="10">
        <v>96</v>
      </c>
      <c r="S163" s="15" t="s">
        <v>284</v>
      </c>
    </row>
    <row r="164" spans="1:19" ht="16">
      <c r="A164" s="10" t="s">
        <v>231</v>
      </c>
      <c r="B164" s="15" t="s">
        <v>488</v>
      </c>
      <c r="C164" s="15">
        <v>1</v>
      </c>
      <c r="D164" s="10" t="s">
        <v>279</v>
      </c>
      <c r="E164" s="10" t="s">
        <v>479</v>
      </c>
      <c r="F164" s="10">
        <v>1</v>
      </c>
      <c r="G164" s="15" t="s">
        <v>296</v>
      </c>
      <c r="H164" s="14" t="s">
        <v>394</v>
      </c>
      <c r="I164" s="15">
        <v>1.2</v>
      </c>
      <c r="J164" s="10" t="s">
        <v>121</v>
      </c>
      <c r="K164" s="15" t="s">
        <v>121</v>
      </c>
      <c r="L164" s="15">
        <v>0</v>
      </c>
      <c r="M164" s="15" t="s">
        <v>121</v>
      </c>
      <c r="N164" s="15" t="s">
        <v>121</v>
      </c>
      <c r="O164" s="15">
        <v>0</v>
      </c>
      <c r="P164" s="9">
        <v>25</v>
      </c>
      <c r="Q164" s="1">
        <v>0.03</v>
      </c>
      <c r="R164" s="10">
        <v>86</v>
      </c>
      <c r="S164" s="15" t="s">
        <v>297</v>
      </c>
    </row>
    <row r="165" spans="1:19" ht="16">
      <c r="A165" s="10" t="s">
        <v>231</v>
      </c>
      <c r="B165" s="15" t="s">
        <v>488</v>
      </c>
      <c r="C165" s="15">
        <v>1</v>
      </c>
      <c r="D165" s="10" t="s">
        <v>279</v>
      </c>
      <c r="E165" s="10" t="s">
        <v>479</v>
      </c>
      <c r="F165" s="10">
        <v>1</v>
      </c>
      <c r="G165" s="15" t="s">
        <v>296</v>
      </c>
      <c r="H165" s="14" t="s">
        <v>394</v>
      </c>
      <c r="I165" s="15">
        <v>1.2</v>
      </c>
      <c r="J165" s="10" t="s">
        <v>121</v>
      </c>
      <c r="K165" s="15" t="s">
        <v>121</v>
      </c>
      <c r="L165" s="15">
        <v>0</v>
      </c>
      <c r="M165" s="15" t="s">
        <v>16</v>
      </c>
      <c r="N165" s="58" t="s">
        <v>562</v>
      </c>
      <c r="O165" s="15">
        <v>0.5</v>
      </c>
      <c r="P165" s="9">
        <v>25</v>
      </c>
      <c r="Q165" s="1">
        <v>16</v>
      </c>
      <c r="R165" s="10">
        <v>79</v>
      </c>
      <c r="S165" s="15" t="s">
        <v>297</v>
      </c>
    </row>
    <row r="166" spans="1:19" ht="16">
      <c r="A166" s="10" t="s">
        <v>298</v>
      </c>
      <c r="B166" s="33" t="s">
        <v>539</v>
      </c>
      <c r="C166" s="15">
        <v>1</v>
      </c>
      <c r="D166" s="10" t="s">
        <v>247</v>
      </c>
      <c r="E166" s="10" t="s">
        <v>466</v>
      </c>
      <c r="F166" s="10">
        <v>1</v>
      </c>
      <c r="G166" s="15" t="s">
        <v>296</v>
      </c>
      <c r="H166" s="14" t="s">
        <v>394</v>
      </c>
      <c r="I166" s="15">
        <v>1.2</v>
      </c>
      <c r="J166" s="10" t="s">
        <v>121</v>
      </c>
      <c r="K166" s="15" t="s">
        <v>121</v>
      </c>
      <c r="L166" s="15">
        <v>0</v>
      </c>
      <c r="M166" s="15" t="s">
        <v>121</v>
      </c>
      <c r="N166" s="15" t="s">
        <v>121</v>
      </c>
      <c r="O166" s="15">
        <v>0</v>
      </c>
      <c r="P166" s="9">
        <v>25</v>
      </c>
      <c r="Q166" s="1">
        <v>0.03</v>
      </c>
      <c r="R166" s="10">
        <v>82</v>
      </c>
      <c r="S166" s="15" t="s">
        <v>297</v>
      </c>
    </row>
    <row r="167" spans="1:19" ht="16">
      <c r="A167" s="10" t="s">
        <v>293</v>
      </c>
      <c r="B167" s="33" t="s">
        <v>537</v>
      </c>
      <c r="C167" s="15">
        <v>1</v>
      </c>
      <c r="D167" s="10" t="s">
        <v>299</v>
      </c>
      <c r="E167" s="10" t="s">
        <v>457</v>
      </c>
      <c r="F167" s="10">
        <v>1</v>
      </c>
      <c r="G167" s="15" t="s">
        <v>296</v>
      </c>
      <c r="H167" s="14" t="s">
        <v>394</v>
      </c>
      <c r="I167" s="15">
        <v>1.2</v>
      </c>
      <c r="J167" s="10" t="s">
        <v>121</v>
      </c>
      <c r="K167" s="15" t="s">
        <v>121</v>
      </c>
      <c r="L167" s="15">
        <v>0</v>
      </c>
      <c r="M167" s="15" t="s">
        <v>121</v>
      </c>
      <c r="N167" s="15" t="s">
        <v>121</v>
      </c>
      <c r="O167" s="15">
        <v>0</v>
      </c>
      <c r="P167" s="9">
        <v>25</v>
      </c>
      <c r="Q167" s="1">
        <v>0.03</v>
      </c>
      <c r="R167" s="10">
        <v>94</v>
      </c>
      <c r="S167" s="15" t="s">
        <v>297</v>
      </c>
    </row>
    <row r="168" spans="1:19" ht="16">
      <c r="A168" s="10" t="s">
        <v>231</v>
      </c>
      <c r="B168" s="15" t="s">
        <v>488</v>
      </c>
      <c r="C168" s="15">
        <v>1</v>
      </c>
      <c r="D168" s="10" t="s">
        <v>300</v>
      </c>
      <c r="E168" s="10" t="s">
        <v>513</v>
      </c>
      <c r="F168" s="10">
        <v>1</v>
      </c>
      <c r="G168" s="15" t="s">
        <v>296</v>
      </c>
      <c r="H168" s="14" t="s">
        <v>394</v>
      </c>
      <c r="I168" s="15">
        <v>1.2</v>
      </c>
      <c r="J168" s="10" t="s">
        <v>121</v>
      </c>
      <c r="K168" s="15" t="s">
        <v>121</v>
      </c>
      <c r="L168" s="15">
        <v>0</v>
      </c>
      <c r="M168" s="15" t="s">
        <v>121</v>
      </c>
      <c r="N168" s="15" t="s">
        <v>121</v>
      </c>
      <c r="O168" s="15">
        <v>0</v>
      </c>
      <c r="P168" s="9">
        <v>25</v>
      </c>
      <c r="Q168" s="1">
        <v>0.03</v>
      </c>
      <c r="R168" s="10">
        <v>82</v>
      </c>
      <c r="S168" s="15" t="s">
        <v>297</v>
      </c>
    </row>
    <row r="169" spans="1:19" ht="16">
      <c r="A169" s="26" t="s">
        <v>165</v>
      </c>
      <c r="B169" s="15" t="s">
        <v>370</v>
      </c>
      <c r="C169" s="15">
        <v>1</v>
      </c>
      <c r="D169" s="10" t="s">
        <v>299</v>
      </c>
      <c r="E169" s="10" t="s">
        <v>457</v>
      </c>
      <c r="F169" s="10">
        <v>1</v>
      </c>
      <c r="G169" s="15" t="s">
        <v>301</v>
      </c>
      <c r="H169" s="15" t="s">
        <v>420</v>
      </c>
      <c r="I169" s="15">
        <v>2</v>
      </c>
      <c r="J169" s="10" t="s">
        <v>121</v>
      </c>
      <c r="K169" s="15" t="s">
        <v>121</v>
      </c>
      <c r="L169" s="15">
        <v>0</v>
      </c>
      <c r="M169" s="15" t="s">
        <v>121</v>
      </c>
      <c r="N169" s="15" t="s">
        <v>121</v>
      </c>
      <c r="O169" s="15">
        <v>0</v>
      </c>
      <c r="P169" s="9">
        <v>80</v>
      </c>
      <c r="Q169" s="1">
        <v>16</v>
      </c>
      <c r="R169" s="10">
        <v>91</v>
      </c>
      <c r="S169" s="15" t="s">
        <v>302</v>
      </c>
    </row>
    <row r="170" spans="1:19" ht="16">
      <c r="A170" s="26" t="s">
        <v>165</v>
      </c>
      <c r="B170" s="15" t="s">
        <v>370</v>
      </c>
      <c r="C170" s="15">
        <v>1</v>
      </c>
      <c r="D170" s="10" t="s">
        <v>303</v>
      </c>
      <c r="E170" s="10" t="s">
        <v>514</v>
      </c>
      <c r="F170" s="10">
        <v>1</v>
      </c>
      <c r="G170" s="15" t="s">
        <v>301</v>
      </c>
      <c r="H170" s="15" t="s">
        <v>420</v>
      </c>
      <c r="I170" s="15">
        <v>2</v>
      </c>
      <c r="J170" s="10" t="s">
        <v>121</v>
      </c>
      <c r="K170" s="15" t="s">
        <v>121</v>
      </c>
      <c r="L170" s="15">
        <v>0</v>
      </c>
      <c r="M170" s="15" t="s">
        <v>121</v>
      </c>
      <c r="N170" s="15" t="s">
        <v>121</v>
      </c>
      <c r="O170" s="15">
        <v>0</v>
      </c>
      <c r="P170" s="9">
        <v>80</v>
      </c>
      <c r="Q170" s="1">
        <v>16</v>
      </c>
      <c r="R170" s="10">
        <v>70</v>
      </c>
      <c r="S170" s="15" t="s">
        <v>302</v>
      </c>
    </row>
    <row r="171" spans="1:19" ht="16">
      <c r="A171" s="26" t="s">
        <v>165</v>
      </c>
      <c r="B171" s="15" t="s">
        <v>370</v>
      </c>
      <c r="C171" s="15">
        <v>1</v>
      </c>
      <c r="D171" s="10" t="s">
        <v>304</v>
      </c>
      <c r="E171" s="10" t="s">
        <v>506</v>
      </c>
      <c r="F171" s="10">
        <v>1</v>
      </c>
      <c r="G171" s="15" t="s">
        <v>301</v>
      </c>
      <c r="H171" s="15" t="s">
        <v>420</v>
      </c>
      <c r="I171" s="15">
        <v>2</v>
      </c>
      <c r="J171" s="10" t="s">
        <v>24</v>
      </c>
      <c r="K171" s="14" t="s">
        <v>380</v>
      </c>
      <c r="L171" s="15">
        <v>2</v>
      </c>
      <c r="M171" s="15" t="s">
        <v>121</v>
      </c>
      <c r="N171" s="15" t="s">
        <v>121</v>
      </c>
      <c r="O171" s="15">
        <v>0</v>
      </c>
      <c r="P171" s="9">
        <v>80</v>
      </c>
      <c r="Q171" s="1">
        <v>15</v>
      </c>
      <c r="R171" s="10">
        <v>82</v>
      </c>
      <c r="S171" s="15" t="s">
        <v>302</v>
      </c>
    </row>
    <row r="172" spans="1:19" ht="16">
      <c r="A172" s="10" t="s">
        <v>266</v>
      </c>
      <c r="B172" s="33" t="s">
        <v>530</v>
      </c>
      <c r="C172" s="15">
        <v>1.1000000000000001</v>
      </c>
      <c r="D172" s="10" t="s">
        <v>299</v>
      </c>
      <c r="E172" s="10" t="s">
        <v>457</v>
      </c>
      <c r="F172" s="10">
        <v>1</v>
      </c>
      <c r="G172" s="15" t="s">
        <v>305</v>
      </c>
      <c r="H172" s="15" t="s">
        <v>421</v>
      </c>
      <c r="I172" s="15">
        <v>0.05</v>
      </c>
      <c r="J172" s="10" t="s">
        <v>121</v>
      </c>
      <c r="K172" s="15" t="s">
        <v>121</v>
      </c>
      <c r="L172" s="15">
        <v>0</v>
      </c>
      <c r="M172" s="15" t="s">
        <v>121</v>
      </c>
      <c r="N172" s="15" t="s">
        <v>121</v>
      </c>
      <c r="O172" s="15">
        <v>0</v>
      </c>
      <c r="P172" s="9">
        <v>140</v>
      </c>
      <c r="Q172" s="1">
        <v>12</v>
      </c>
      <c r="R172" s="10">
        <v>80</v>
      </c>
      <c r="S172" s="15" t="s">
        <v>306</v>
      </c>
    </row>
    <row r="173" spans="1:19" ht="16">
      <c r="A173" s="10" t="s">
        <v>201</v>
      </c>
      <c r="B173" s="15" t="s">
        <v>369</v>
      </c>
      <c r="C173" s="15">
        <v>1.1000000000000001</v>
      </c>
      <c r="D173" s="10" t="s">
        <v>307</v>
      </c>
      <c r="E173" s="10" t="s">
        <v>492</v>
      </c>
      <c r="F173" s="10">
        <v>1</v>
      </c>
      <c r="G173" s="15" t="s">
        <v>305</v>
      </c>
      <c r="H173" s="15" t="s">
        <v>421</v>
      </c>
      <c r="I173" s="15">
        <v>0.5</v>
      </c>
      <c r="J173" s="10" t="s">
        <v>121</v>
      </c>
      <c r="K173" s="15" t="s">
        <v>121</v>
      </c>
      <c r="L173" s="15">
        <v>0</v>
      </c>
      <c r="M173" s="15" t="s">
        <v>121</v>
      </c>
      <c r="N173" s="15" t="s">
        <v>121</v>
      </c>
      <c r="O173" s="15">
        <v>0</v>
      </c>
      <c r="P173" s="9">
        <v>140</v>
      </c>
      <c r="Q173" s="1">
        <v>12</v>
      </c>
      <c r="R173" s="10">
        <v>79</v>
      </c>
      <c r="S173" s="15" t="s">
        <v>306</v>
      </c>
    </row>
    <row r="174" spans="1:19" ht="16">
      <c r="A174" s="26" t="s">
        <v>310</v>
      </c>
      <c r="B174" s="33" t="s">
        <v>540</v>
      </c>
      <c r="C174" s="17">
        <v>1</v>
      </c>
      <c r="D174" s="26" t="s">
        <v>309</v>
      </c>
      <c r="E174" s="26" t="s">
        <v>515</v>
      </c>
      <c r="F174" s="26">
        <v>2</v>
      </c>
      <c r="G174" s="17" t="s">
        <v>102</v>
      </c>
      <c r="H174" s="15" t="s">
        <v>399</v>
      </c>
      <c r="I174" s="17">
        <v>1.1000000000000001</v>
      </c>
      <c r="J174" s="26" t="s">
        <v>121</v>
      </c>
      <c r="K174" s="17" t="s">
        <v>121</v>
      </c>
      <c r="L174" s="17">
        <v>0</v>
      </c>
      <c r="M174" s="17" t="s">
        <v>22</v>
      </c>
      <c r="N174" s="58" t="s">
        <v>563</v>
      </c>
      <c r="O174" s="17">
        <v>0.5</v>
      </c>
      <c r="P174" s="11">
        <v>22</v>
      </c>
      <c r="Q174" s="50">
        <v>144</v>
      </c>
      <c r="R174" s="26">
        <v>10</v>
      </c>
      <c r="S174" s="17" t="s">
        <v>308</v>
      </c>
    </row>
    <row r="175" spans="1:19" ht="16">
      <c r="A175" s="26" t="s">
        <v>312</v>
      </c>
      <c r="B175" s="99" t="s">
        <v>541</v>
      </c>
      <c r="C175" s="17">
        <v>1</v>
      </c>
      <c r="D175" s="26" t="s">
        <v>171</v>
      </c>
      <c r="E175" s="26" t="s">
        <v>466</v>
      </c>
      <c r="F175" s="26">
        <v>1.2</v>
      </c>
      <c r="G175" s="17" t="s">
        <v>38</v>
      </c>
      <c r="H175" s="17" t="s">
        <v>398</v>
      </c>
      <c r="I175" s="17">
        <v>1.2</v>
      </c>
      <c r="J175" s="26" t="s">
        <v>27</v>
      </c>
      <c r="K175" s="16" t="s">
        <v>379</v>
      </c>
      <c r="L175" s="17">
        <v>2</v>
      </c>
      <c r="M175" s="17" t="s">
        <v>16</v>
      </c>
      <c r="N175" s="16" t="s">
        <v>562</v>
      </c>
      <c r="O175" s="17">
        <v>0.25</v>
      </c>
      <c r="P175" s="11">
        <v>25</v>
      </c>
      <c r="Q175" s="50">
        <v>24</v>
      </c>
      <c r="R175" s="26">
        <v>20</v>
      </c>
      <c r="S175" s="17" t="s">
        <v>311</v>
      </c>
    </row>
    <row r="176" spans="1:19" ht="16">
      <c r="A176" s="26" t="s">
        <v>313</v>
      </c>
      <c r="B176" s="95" t="s">
        <v>542</v>
      </c>
      <c r="C176" s="17">
        <v>1</v>
      </c>
      <c r="D176" s="26" t="s">
        <v>314</v>
      </c>
      <c r="E176" s="26" t="s">
        <v>485</v>
      </c>
      <c r="F176" s="26">
        <v>1</v>
      </c>
      <c r="G176" s="17" t="s">
        <v>296</v>
      </c>
      <c r="H176" s="16" t="s">
        <v>394</v>
      </c>
      <c r="I176" s="17">
        <v>1.5</v>
      </c>
      <c r="J176" s="26" t="s">
        <v>121</v>
      </c>
      <c r="K176" s="17" t="s">
        <v>121</v>
      </c>
      <c r="L176" s="17">
        <v>0</v>
      </c>
      <c r="M176" s="17" t="s">
        <v>40</v>
      </c>
      <c r="N176" s="16" t="s">
        <v>423</v>
      </c>
      <c r="O176" s="17">
        <v>0.5</v>
      </c>
      <c r="P176" s="11">
        <v>25</v>
      </c>
      <c r="Q176" s="50">
        <v>12</v>
      </c>
      <c r="R176" s="26">
        <v>24</v>
      </c>
      <c r="S176" s="17" t="s">
        <v>315</v>
      </c>
    </row>
    <row r="177" spans="1:19" ht="16">
      <c r="A177" s="26" t="s">
        <v>319</v>
      </c>
      <c r="B177" s="15" t="s">
        <v>454</v>
      </c>
      <c r="C177" s="17">
        <v>1</v>
      </c>
      <c r="D177" s="26" t="s">
        <v>318</v>
      </c>
      <c r="E177" s="26" t="s">
        <v>485</v>
      </c>
      <c r="F177" s="26">
        <v>0.7</v>
      </c>
      <c r="G177" s="17" t="s">
        <v>77</v>
      </c>
      <c r="H177" s="16" t="s">
        <v>391</v>
      </c>
      <c r="I177" s="17">
        <v>1</v>
      </c>
      <c r="J177" s="26" t="s">
        <v>24</v>
      </c>
      <c r="K177" s="16" t="s">
        <v>380</v>
      </c>
      <c r="L177" s="17">
        <v>1</v>
      </c>
      <c r="M177" s="17" t="s">
        <v>317</v>
      </c>
      <c r="N177" s="17" t="s">
        <v>424</v>
      </c>
      <c r="O177" s="17">
        <v>0.3</v>
      </c>
      <c r="P177" s="11">
        <v>90</v>
      </c>
      <c r="Q177" s="50">
        <v>12</v>
      </c>
      <c r="R177" s="26">
        <v>34</v>
      </c>
      <c r="S177" s="17" t="s">
        <v>316</v>
      </c>
    </row>
    <row r="178" spans="1:19" ht="16">
      <c r="A178" s="26" t="s">
        <v>323</v>
      </c>
      <c r="B178" s="33" t="s">
        <v>543</v>
      </c>
      <c r="C178" s="17">
        <v>1</v>
      </c>
      <c r="D178" s="26" t="s">
        <v>322</v>
      </c>
      <c r="E178" s="26" t="s">
        <v>484</v>
      </c>
      <c r="F178" s="26">
        <v>3</v>
      </c>
      <c r="G178" s="17" t="s">
        <v>321</v>
      </c>
      <c r="H178" s="16" t="s">
        <v>394</v>
      </c>
      <c r="I178" s="17">
        <v>1.7</v>
      </c>
      <c r="J178" s="26" t="s">
        <v>24</v>
      </c>
      <c r="K178" s="16" t="s">
        <v>380</v>
      </c>
      <c r="L178" s="17">
        <v>4</v>
      </c>
      <c r="M178" s="17" t="s">
        <v>16</v>
      </c>
      <c r="N178" s="58" t="s">
        <v>562</v>
      </c>
      <c r="O178" s="17">
        <v>0.1</v>
      </c>
      <c r="P178" s="11">
        <v>25</v>
      </c>
      <c r="Q178" s="50">
        <v>12</v>
      </c>
      <c r="R178" s="26">
        <v>40</v>
      </c>
      <c r="S178" s="17" t="s">
        <v>320</v>
      </c>
    </row>
    <row r="179" spans="1:19" ht="16">
      <c r="A179" s="26" t="s">
        <v>325</v>
      </c>
      <c r="B179" s="33" t="s">
        <v>544</v>
      </c>
      <c r="C179" s="17">
        <v>1</v>
      </c>
      <c r="D179" s="26" t="s">
        <v>324</v>
      </c>
      <c r="E179" s="26" t="s">
        <v>483</v>
      </c>
      <c r="F179" s="26">
        <v>1.2</v>
      </c>
      <c r="G179" s="17" t="s">
        <v>59</v>
      </c>
      <c r="H179" s="16" t="s">
        <v>390</v>
      </c>
      <c r="I179" s="17">
        <v>1.2</v>
      </c>
      <c r="J179" s="44" t="s">
        <v>196</v>
      </c>
      <c r="K179" s="16" t="s">
        <v>381</v>
      </c>
      <c r="L179" s="17">
        <v>1.2</v>
      </c>
      <c r="M179" s="17" t="s">
        <v>16</v>
      </c>
      <c r="N179" s="58" t="s">
        <v>562</v>
      </c>
      <c r="O179" s="17">
        <v>0.5</v>
      </c>
      <c r="P179" s="11">
        <v>21</v>
      </c>
      <c r="Q179" s="50">
        <v>16</v>
      </c>
      <c r="R179" s="26">
        <v>45</v>
      </c>
      <c r="S179" s="17" t="s">
        <v>33</v>
      </c>
    </row>
    <row r="180" spans="1:19" ht="16">
      <c r="A180" s="26" t="s">
        <v>329</v>
      </c>
      <c r="B180" s="15" t="s">
        <v>370</v>
      </c>
      <c r="C180" s="17">
        <v>1</v>
      </c>
      <c r="D180" s="26" t="s">
        <v>328</v>
      </c>
      <c r="E180" s="44" t="s">
        <v>457</v>
      </c>
      <c r="F180" s="26">
        <v>1</v>
      </c>
      <c r="G180" s="17" t="s">
        <v>327</v>
      </c>
      <c r="H180" s="17" t="s">
        <v>422</v>
      </c>
      <c r="I180" s="17">
        <v>1</v>
      </c>
      <c r="J180" s="26" t="s">
        <v>24</v>
      </c>
      <c r="K180" s="16" t="s">
        <v>380</v>
      </c>
      <c r="L180" s="17">
        <v>2.2000000000000002</v>
      </c>
      <c r="M180" s="17" t="s">
        <v>40</v>
      </c>
      <c r="N180" s="16" t="s">
        <v>423</v>
      </c>
      <c r="O180" s="17">
        <v>2</v>
      </c>
      <c r="P180" s="11">
        <v>25</v>
      </c>
      <c r="Q180" s="50">
        <v>3</v>
      </c>
      <c r="R180" s="26">
        <v>48</v>
      </c>
      <c r="S180" s="17" t="s">
        <v>326</v>
      </c>
    </row>
    <row r="181" spans="1:19" ht="16">
      <c r="A181" s="26" t="s">
        <v>333</v>
      </c>
      <c r="B181" s="33" t="s">
        <v>545</v>
      </c>
      <c r="C181" s="17">
        <v>1</v>
      </c>
      <c r="D181" s="26" t="s">
        <v>332</v>
      </c>
      <c r="E181" s="26" t="s">
        <v>481</v>
      </c>
      <c r="F181" s="26">
        <v>1.1000000000000001</v>
      </c>
      <c r="G181" s="17" t="s">
        <v>59</v>
      </c>
      <c r="H181" s="16" t="s">
        <v>390</v>
      </c>
      <c r="I181" s="17">
        <v>1.1000000000000001</v>
      </c>
      <c r="J181" s="26" t="s">
        <v>331</v>
      </c>
      <c r="K181" s="17" t="s">
        <v>383</v>
      </c>
      <c r="L181" s="17">
        <v>1.6</v>
      </c>
      <c r="M181" s="17" t="s">
        <v>22</v>
      </c>
      <c r="N181" s="58" t="s">
        <v>563</v>
      </c>
      <c r="O181" s="17">
        <v>0.25</v>
      </c>
      <c r="P181" s="11">
        <v>25</v>
      </c>
      <c r="Q181" s="50">
        <v>48</v>
      </c>
      <c r="R181" s="26">
        <v>48</v>
      </c>
      <c r="S181" s="17" t="s">
        <v>330</v>
      </c>
    </row>
    <row r="182" spans="1:19" ht="16">
      <c r="A182" s="26" t="s">
        <v>336</v>
      </c>
      <c r="B182" s="33" t="s">
        <v>546</v>
      </c>
      <c r="C182" s="17">
        <v>1</v>
      </c>
      <c r="D182" s="26" t="s">
        <v>335</v>
      </c>
      <c r="E182" s="26" t="s">
        <v>480</v>
      </c>
      <c r="F182" s="26">
        <v>1</v>
      </c>
      <c r="G182" s="17" t="s">
        <v>59</v>
      </c>
      <c r="H182" s="16" t="s">
        <v>390</v>
      </c>
      <c r="I182" s="17">
        <v>2</v>
      </c>
      <c r="J182" s="26" t="s">
        <v>121</v>
      </c>
      <c r="K182" s="17" t="s">
        <v>121</v>
      </c>
      <c r="L182" s="17">
        <v>0</v>
      </c>
      <c r="M182" s="17" t="s">
        <v>40</v>
      </c>
      <c r="N182" s="16" t="s">
        <v>423</v>
      </c>
      <c r="O182" s="17">
        <v>0.5</v>
      </c>
      <c r="P182" s="26">
        <v>25</v>
      </c>
      <c r="Q182" s="17">
        <v>16</v>
      </c>
      <c r="R182" s="26">
        <v>49</v>
      </c>
      <c r="S182" s="17" t="s">
        <v>334</v>
      </c>
    </row>
    <row r="183" spans="1:19" ht="16">
      <c r="A183" s="26" t="s">
        <v>312</v>
      </c>
      <c r="B183" s="33" t="s">
        <v>541</v>
      </c>
      <c r="C183" s="17">
        <v>1</v>
      </c>
      <c r="D183" s="26" t="s">
        <v>27</v>
      </c>
      <c r="E183" s="20" t="s">
        <v>379</v>
      </c>
      <c r="F183" s="26">
        <v>1.2</v>
      </c>
      <c r="G183" s="17" t="s">
        <v>38</v>
      </c>
      <c r="H183" s="17" t="s">
        <v>398</v>
      </c>
      <c r="I183" s="17">
        <v>1.2</v>
      </c>
      <c r="J183" s="26" t="s">
        <v>27</v>
      </c>
      <c r="K183" s="16" t="s">
        <v>379</v>
      </c>
      <c r="L183" s="17">
        <v>2</v>
      </c>
      <c r="M183" s="17" t="s">
        <v>16</v>
      </c>
      <c r="N183" s="58" t="s">
        <v>562</v>
      </c>
      <c r="O183" s="17">
        <v>0.25</v>
      </c>
      <c r="P183" s="26">
        <v>25</v>
      </c>
      <c r="Q183" s="17">
        <v>24</v>
      </c>
      <c r="R183" s="26">
        <v>50</v>
      </c>
      <c r="S183" s="17" t="s">
        <v>337</v>
      </c>
    </row>
    <row r="184" spans="1:19" ht="16">
      <c r="A184" s="21" t="s">
        <v>338</v>
      </c>
      <c r="B184" s="33" t="s">
        <v>547</v>
      </c>
      <c r="C184" s="29">
        <v>2</v>
      </c>
      <c r="D184" s="21" t="s">
        <v>324</v>
      </c>
      <c r="E184" s="26" t="s">
        <v>483</v>
      </c>
      <c r="F184" s="21">
        <v>1.2</v>
      </c>
      <c r="G184" s="29" t="s">
        <v>59</v>
      </c>
      <c r="H184" s="16" t="s">
        <v>390</v>
      </c>
      <c r="I184" s="29">
        <v>1.2</v>
      </c>
      <c r="J184" s="44" t="s">
        <v>196</v>
      </c>
      <c r="K184" s="16" t="s">
        <v>381</v>
      </c>
      <c r="L184" s="29">
        <v>1.2</v>
      </c>
      <c r="M184" s="29" t="s">
        <v>16</v>
      </c>
      <c r="N184" s="58" t="s">
        <v>562</v>
      </c>
      <c r="O184" s="29">
        <v>0.5</v>
      </c>
      <c r="P184" s="21">
        <v>21</v>
      </c>
      <c r="Q184" s="29">
        <v>16</v>
      </c>
      <c r="R184" s="21">
        <v>35</v>
      </c>
      <c r="S184" s="29" t="s">
        <v>339</v>
      </c>
    </row>
    <row r="185" spans="1:19" ht="16">
      <c r="A185" s="22" t="s">
        <v>329</v>
      </c>
      <c r="B185" s="15" t="s">
        <v>370</v>
      </c>
      <c r="C185" s="30">
        <v>1</v>
      </c>
      <c r="D185" s="22" t="s">
        <v>328</v>
      </c>
      <c r="E185" s="44" t="s">
        <v>457</v>
      </c>
      <c r="F185" s="22">
        <v>1</v>
      </c>
      <c r="G185" s="30" t="s">
        <v>327</v>
      </c>
      <c r="H185" s="30" t="s">
        <v>422</v>
      </c>
      <c r="I185" s="30">
        <v>1</v>
      </c>
      <c r="J185" s="22" t="s">
        <v>24</v>
      </c>
      <c r="K185" s="16" t="s">
        <v>380</v>
      </c>
      <c r="L185" s="30">
        <v>2.2000000000000002</v>
      </c>
      <c r="M185" s="30" t="s">
        <v>340</v>
      </c>
      <c r="N185" s="49" t="s">
        <v>434</v>
      </c>
      <c r="O185" s="30">
        <v>2</v>
      </c>
      <c r="P185" s="22">
        <v>25</v>
      </c>
      <c r="Q185" s="30">
        <v>3</v>
      </c>
      <c r="R185" s="22">
        <v>56</v>
      </c>
      <c r="S185" s="30" t="s">
        <v>326</v>
      </c>
    </row>
    <row r="186" spans="1:19" ht="16">
      <c r="A186" s="22" t="s">
        <v>341</v>
      </c>
      <c r="B186" s="33" t="s">
        <v>548</v>
      </c>
      <c r="C186" s="30">
        <v>1</v>
      </c>
      <c r="D186" s="22" t="s">
        <v>342</v>
      </c>
      <c r="E186" s="26" t="s">
        <v>482</v>
      </c>
      <c r="F186" s="22">
        <v>1.1000000000000001</v>
      </c>
      <c r="G186" s="30" t="s">
        <v>77</v>
      </c>
      <c r="H186" s="16" t="s">
        <v>391</v>
      </c>
      <c r="I186" s="30">
        <v>1.2</v>
      </c>
      <c r="J186" s="22" t="s">
        <v>24</v>
      </c>
      <c r="K186" s="16" t="s">
        <v>380</v>
      </c>
      <c r="L186" s="30">
        <v>2.2000000000000002</v>
      </c>
      <c r="M186" s="17" t="s">
        <v>22</v>
      </c>
      <c r="N186" s="58" t="s">
        <v>563</v>
      </c>
      <c r="O186" s="30">
        <v>0.25</v>
      </c>
      <c r="P186" s="22">
        <v>25</v>
      </c>
      <c r="Q186" s="30">
        <v>16</v>
      </c>
      <c r="R186" s="22">
        <v>15</v>
      </c>
      <c r="S186" s="30" t="s">
        <v>343</v>
      </c>
    </row>
    <row r="187" spans="1:19" ht="16">
      <c r="A187" s="22" t="s">
        <v>344</v>
      </c>
      <c r="B187" s="33" t="s">
        <v>549</v>
      </c>
      <c r="C187" s="30">
        <v>1</v>
      </c>
      <c r="D187" s="22" t="s">
        <v>345</v>
      </c>
      <c r="E187" s="26" t="s">
        <v>480</v>
      </c>
      <c r="F187" s="22">
        <v>1</v>
      </c>
      <c r="G187" s="30" t="s">
        <v>105</v>
      </c>
      <c r="H187" s="16" t="s">
        <v>393</v>
      </c>
      <c r="I187" s="30">
        <v>1</v>
      </c>
      <c r="J187" s="22" t="s">
        <v>121</v>
      </c>
      <c r="K187" s="17" t="s">
        <v>121</v>
      </c>
      <c r="L187" s="30">
        <v>0</v>
      </c>
      <c r="M187" s="17" t="s">
        <v>22</v>
      </c>
      <c r="N187" s="58" t="s">
        <v>563</v>
      </c>
      <c r="O187" s="30">
        <v>6</v>
      </c>
      <c r="P187" s="22">
        <v>60</v>
      </c>
      <c r="Q187" s="30">
        <v>8</v>
      </c>
      <c r="R187" s="22">
        <v>42</v>
      </c>
      <c r="S187" s="30" t="s">
        <v>346</v>
      </c>
    </row>
    <row r="188" spans="1:19" ht="16">
      <c r="A188" s="22" t="s">
        <v>347</v>
      </c>
      <c r="B188" s="33" t="s">
        <v>550</v>
      </c>
      <c r="C188" s="30">
        <v>1</v>
      </c>
      <c r="D188" s="22" t="s">
        <v>348</v>
      </c>
      <c r="E188" s="26" t="s">
        <v>478</v>
      </c>
      <c r="F188" s="22">
        <v>2</v>
      </c>
      <c r="G188" s="30" t="s">
        <v>296</v>
      </c>
      <c r="H188" s="16" t="s">
        <v>394</v>
      </c>
      <c r="I188" s="30">
        <v>1</v>
      </c>
      <c r="J188" s="22" t="s">
        <v>349</v>
      </c>
      <c r="K188" s="30" t="s">
        <v>388</v>
      </c>
      <c r="L188" s="30">
        <v>1</v>
      </c>
      <c r="M188" s="17" t="s">
        <v>22</v>
      </c>
      <c r="N188" s="58" t="s">
        <v>563</v>
      </c>
      <c r="O188" s="30">
        <v>1</v>
      </c>
      <c r="P188" s="22">
        <v>50</v>
      </c>
      <c r="Q188" s="30">
        <v>24</v>
      </c>
      <c r="R188" s="22">
        <v>35</v>
      </c>
      <c r="S188" s="30" t="s">
        <v>350</v>
      </c>
    </row>
    <row r="189" spans="1:19" ht="16">
      <c r="A189" s="23" t="s">
        <v>329</v>
      </c>
      <c r="B189" s="15" t="s">
        <v>370</v>
      </c>
      <c r="C189" s="31">
        <v>1</v>
      </c>
      <c r="D189" s="23" t="s">
        <v>328</v>
      </c>
      <c r="E189" s="44" t="s">
        <v>457</v>
      </c>
      <c r="F189" s="23">
        <v>1</v>
      </c>
      <c r="G189" s="31" t="s">
        <v>327</v>
      </c>
      <c r="H189" s="31" t="s">
        <v>422</v>
      </c>
      <c r="I189" s="31">
        <v>1</v>
      </c>
      <c r="J189" s="23" t="s">
        <v>24</v>
      </c>
      <c r="K189" s="16" t="s">
        <v>380</v>
      </c>
      <c r="L189" s="31">
        <v>2.2000000000000002</v>
      </c>
      <c r="M189" s="17" t="s">
        <v>22</v>
      </c>
      <c r="N189" s="58" t="s">
        <v>563</v>
      </c>
      <c r="O189" s="31">
        <v>2</v>
      </c>
      <c r="P189" s="23">
        <v>25</v>
      </c>
      <c r="Q189" s="31">
        <v>3</v>
      </c>
      <c r="R189" s="23">
        <v>85</v>
      </c>
      <c r="S189" s="53" t="s">
        <v>326</v>
      </c>
    </row>
    <row r="190" spans="1:19" ht="16">
      <c r="A190" s="77" t="s">
        <v>580</v>
      </c>
      <c r="B190" s="78" t="s">
        <v>581</v>
      </c>
      <c r="C190" s="77">
        <v>1</v>
      </c>
      <c r="D190" s="77" t="s">
        <v>582</v>
      </c>
      <c r="E190" s="77" t="s">
        <v>583</v>
      </c>
      <c r="F190" s="77">
        <v>2</v>
      </c>
      <c r="G190" s="77" t="s">
        <v>15</v>
      </c>
      <c r="H190" s="79" t="s">
        <v>392</v>
      </c>
      <c r="I190" s="77">
        <v>1.1000000000000001</v>
      </c>
      <c r="J190" s="77" t="s">
        <v>27</v>
      </c>
      <c r="K190" s="80" t="s">
        <v>379</v>
      </c>
      <c r="L190" s="77">
        <v>2</v>
      </c>
      <c r="M190" s="77" t="s">
        <v>16</v>
      </c>
      <c r="N190" s="81" t="s">
        <v>562</v>
      </c>
      <c r="O190" s="77">
        <v>0.06</v>
      </c>
      <c r="P190" s="77">
        <v>25</v>
      </c>
      <c r="Q190" s="77">
        <v>24</v>
      </c>
      <c r="R190" s="77">
        <v>52</v>
      </c>
      <c r="S190" s="77" t="s">
        <v>43</v>
      </c>
    </row>
    <row r="191" spans="1:19" ht="16">
      <c r="A191" s="77" t="s">
        <v>584</v>
      </c>
      <c r="B191" s="78" t="s">
        <v>585</v>
      </c>
      <c r="C191" s="77">
        <v>1.5</v>
      </c>
      <c r="D191" s="77" t="s">
        <v>182</v>
      </c>
      <c r="E191" s="82" t="s">
        <v>469</v>
      </c>
      <c r="F191" s="77">
        <v>1</v>
      </c>
      <c r="G191" s="77" t="s">
        <v>105</v>
      </c>
      <c r="H191" s="81" t="s">
        <v>393</v>
      </c>
      <c r="I191" s="77">
        <v>1.2</v>
      </c>
      <c r="J191" s="77" t="s">
        <v>121</v>
      </c>
      <c r="K191" s="77" t="s">
        <v>121</v>
      </c>
      <c r="L191" s="77">
        <v>0</v>
      </c>
      <c r="M191" s="77" t="s">
        <v>16</v>
      </c>
      <c r="N191" s="81" t="s">
        <v>562</v>
      </c>
      <c r="O191" s="77">
        <v>1</v>
      </c>
      <c r="P191" s="77">
        <v>25</v>
      </c>
      <c r="Q191" s="77">
        <v>24</v>
      </c>
      <c r="R191" s="77">
        <v>48</v>
      </c>
      <c r="S191" s="77" t="s">
        <v>586</v>
      </c>
    </row>
    <row r="192" spans="1:19" ht="16">
      <c r="A192" s="24" t="s">
        <v>351</v>
      </c>
      <c r="B192" s="100" t="s">
        <v>551</v>
      </c>
      <c r="C192" s="4">
        <v>1</v>
      </c>
      <c r="D192" s="37" t="s">
        <v>352</v>
      </c>
      <c r="E192" s="56" t="s">
        <v>455</v>
      </c>
      <c r="F192" s="27">
        <v>1.2</v>
      </c>
      <c r="G192" s="4" t="s">
        <v>77</v>
      </c>
      <c r="H192" s="18" t="s">
        <v>391</v>
      </c>
      <c r="I192" s="4">
        <v>2</v>
      </c>
      <c r="J192" s="36" t="s">
        <v>24</v>
      </c>
      <c r="K192" s="18" t="s">
        <v>380</v>
      </c>
      <c r="L192" s="5">
        <v>3</v>
      </c>
      <c r="M192" s="47" t="s">
        <v>22</v>
      </c>
      <c r="N192" s="18" t="s">
        <v>563</v>
      </c>
      <c r="O192" s="5">
        <v>6</v>
      </c>
      <c r="P192" s="27">
        <v>25</v>
      </c>
      <c r="Q192" s="4">
        <v>14</v>
      </c>
      <c r="R192" s="27">
        <v>38</v>
      </c>
      <c r="S192" s="54" t="s">
        <v>353</v>
      </c>
    </row>
    <row r="193" spans="1:19" ht="16">
      <c r="A193" s="24" t="s">
        <v>553</v>
      </c>
      <c r="B193" s="100" t="s">
        <v>552</v>
      </c>
      <c r="C193" s="4">
        <v>1</v>
      </c>
      <c r="D193" s="37" t="s">
        <v>352</v>
      </c>
      <c r="E193" s="56" t="s">
        <v>455</v>
      </c>
      <c r="F193" s="27">
        <v>1</v>
      </c>
      <c r="G193" s="5" t="s">
        <v>59</v>
      </c>
      <c r="H193" s="18" t="s">
        <v>390</v>
      </c>
      <c r="I193" s="4">
        <v>1.3</v>
      </c>
      <c r="J193" s="24" t="s">
        <v>354</v>
      </c>
      <c r="K193" s="46" t="s">
        <v>389</v>
      </c>
      <c r="L193" s="4">
        <v>3</v>
      </c>
      <c r="M193" s="47" t="s">
        <v>22</v>
      </c>
      <c r="N193" s="18" t="s">
        <v>563</v>
      </c>
      <c r="O193" s="4">
        <v>11</v>
      </c>
      <c r="P193" s="27">
        <v>25</v>
      </c>
      <c r="Q193" s="4">
        <v>21</v>
      </c>
      <c r="R193" s="27">
        <v>44</v>
      </c>
      <c r="S193" s="46" t="s">
        <v>355</v>
      </c>
    </row>
    <row r="194" spans="1:19" ht="16">
      <c r="A194" s="24" t="s">
        <v>356</v>
      </c>
      <c r="B194" s="100" t="s">
        <v>554</v>
      </c>
      <c r="C194" s="4">
        <v>1</v>
      </c>
      <c r="D194" s="37" t="s">
        <v>352</v>
      </c>
      <c r="E194" s="56" t="s">
        <v>455</v>
      </c>
      <c r="F194" s="27">
        <v>1.2</v>
      </c>
      <c r="G194" s="5" t="s">
        <v>59</v>
      </c>
      <c r="H194" s="18" t="s">
        <v>390</v>
      </c>
      <c r="I194" s="4">
        <v>1.5</v>
      </c>
      <c r="J194" s="36" t="s">
        <v>121</v>
      </c>
      <c r="K194" s="47" t="s">
        <v>121</v>
      </c>
      <c r="L194" s="5">
        <v>0</v>
      </c>
      <c r="M194" s="4" t="s">
        <v>16</v>
      </c>
      <c r="N194" s="18" t="s">
        <v>562</v>
      </c>
      <c r="O194" s="4">
        <v>0.3</v>
      </c>
      <c r="P194" s="27">
        <v>25</v>
      </c>
      <c r="Q194" s="4">
        <v>24</v>
      </c>
      <c r="R194" s="27">
        <v>6</v>
      </c>
      <c r="S194" s="54" t="s">
        <v>357</v>
      </c>
    </row>
    <row r="195" spans="1:19" ht="16">
      <c r="A195" s="24" t="s">
        <v>556</v>
      </c>
      <c r="B195" s="100" t="s">
        <v>555</v>
      </c>
      <c r="C195" s="4">
        <v>1</v>
      </c>
      <c r="D195" s="39" t="s">
        <v>352</v>
      </c>
      <c r="E195" s="56" t="s">
        <v>455</v>
      </c>
      <c r="F195" s="37">
        <v>1</v>
      </c>
      <c r="G195" s="43" t="s">
        <v>59</v>
      </c>
      <c r="H195" s="18" t="s">
        <v>390</v>
      </c>
      <c r="I195" s="6">
        <v>1.3</v>
      </c>
      <c r="J195" s="24" t="s">
        <v>354</v>
      </c>
      <c r="K195" s="46" t="s">
        <v>389</v>
      </c>
      <c r="L195" s="6">
        <v>3</v>
      </c>
      <c r="M195" s="47" t="s">
        <v>22</v>
      </c>
      <c r="N195" s="18" t="s">
        <v>563</v>
      </c>
      <c r="O195" s="6">
        <v>0.1</v>
      </c>
      <c r="P195" s="37">
        <v>25</v>
      </c>
      <c r="Q195" s="6">
        <v>21</v>
      </c>
      <c r="R195" s="27">
        <v>29</v>
      </c>
      <c r="S195" s="46" t="s">
        <v>355</v>
      </c>
    </row>
    <row r="196" spans="1:19" ht="16">
      <c r="A196" s="24" t="s">
        <v>358</v>
      </c>
      <c r="B196" s="94" t="s">
        <v>557</v>
      </c>
      <c r="C196" s="4">
        <v>1</v>
      </c>
      <c r="D196" s="39" t="s">
        <v>352</v>
      </c>
      <c r="E196" s="56" t="s">
        <v>455</v>
      </c>
      <c r="F196" s="37">
        <v>1.5</v>
      </c>
      <c r="G196" s="4" t="s">
        <v>77</v>
      </c>
      <c r="H196" s="18" t="s">
        <v>391</v>
      </c>
      <c r="I196" s="4">
        <v>1</v>
      </c>
      <c r="J196" s="36" t="s">
        <v>24</v>
      </c>
      <c r="K196" s="18" t="s">
        <v>380</v>
      </c>
      <c r="L196" s="5">
        <v>3</v>
      </c>
      <c r="M196" s="4" t="s">
        <v>317</v>
      </c>
      <c r="N196" s="4" t="s">
        <v>424</v>
      </c>
      <c r="O196" s="4">
        <v>0.05</v>
      </c>
      <c r="P196" s="27">
        <v>25</v>
      </c>
      <c r="Q196" s="4">
        <v>0.75</v>
      </c>
      <c r="R196" s="27">
        <v>49</v>
      </c>
      <c r="S196" s="46" t="s">
        <v>359</v>
      </c>
    </row>
    <row r="197" spans="1:19" ht="16">
      <c r="A197" s="24" t="s">
        <v>360</v>
      </c>
      <c r="B197" s="94" t="s">
        <v>558</v>
      </c>
      <c r="C197" s="4">
        <v>1</v>
      </c>
      <c r="D197" s="39" t="s">
        <v>352</v>
      </c>
      <c r="E197" s="56" t="s">
        <v>455</v>
      </c>
      <c r="F197" s="27">
        <v>0.9</v>
      </c>
      <c r="G197" s="4" t="s">
        <v>77</v>
      </c>
      <c r="H197" s="18" t="s">
        <v>391</v>
      </c>
      <c r="I197" s="4">
        <v>1.2</v>
      </c>
      <c r="J197" s="45" t="s">
        <v>196</v>
      </c>
      <c r="K197" s="18" t="s">
        <v>381</v>
      </c>
      <c r="L197" s="4">
        <v>3.6</v>
      </c>
      <c r="M197" s="47" t="s">
        <v>22</v>
      </c>
      <c r="N197" s="58" t="s">
        <v>563</v>
      </c>
      <c r="O197" s="4">
        <v>0.02</v>
      </c>
      <c r="P197" s="27">
        <v>25</v>
      </c>
      <c r="Q197" s="4">
        <v>16</v>
      </c>
      <c r="R197" s="27">
        <v>28</v>
      </c>
      <c r="S197" s="46" t="s">
        <v>361</v>
      </c>
    </row>
    <row r="198" spans="1:19" ht="16">
      <c r="A198" s="24" t="s">
        <v>559</v>
      </c>
      <c r="B198" s="94" t="s">
        <v>558</v>
      </c>
      <c r="C198" s="4">
        <v>1</v>
      </c>
      <c r="D198" s="40" t="s">
        <v>362</v>
      </c>
      <c r="E198" s="56" t="s">
        <v>456</v>
      </c>
      <c r="F198" s="27">
        <v>1</v>
      </c>
      <c r="G198" s="4" t="s">
        <v>77</v>
      </c>
      <c r="H198" s="18" t="s">
        <v>391</v>
      </c>
      <c r="I198" s="4">
        <v>3</v>
      </c>
      <c r="J198" s="45" t="s">
        <v>196</v>
      </c>
      <c r="K198" s="18" t="s">
        <v>381</v>
      </c>
      <c r="L198" s="4">
        <v>4</v>
      </c>
      <c r="M198" s="47" t="s">
        <v>22</v>
      </c>
      <c r="N198" s="58" t="s">
        <v>563</v>
      </c>
      <c r="O198" s="4">
        <v>0.03</v>
      </c>
      <c r="P198" s="27">
        <v>25</v>
      </c>
      <c r="Q198" s="4">
        <v>16</v>
      </c>
      <c r="R198" s="27">
        <v>13</v>
      </c>
      <c r="S198" s="46" t="s">
        <v>363</v>
      </c>
    </row>
    <row r="199" spans="1:19" ht="16">
      <c r="A199" s="24" t="s">
        <v>364</v>
      </c>
      <c r="B199" s="94" t="s">
        <v>560</v>
      </c>
      <c r="C199" s="4">
        <v>1</v>
      </c>
      <c r="D199" s="40" t="s">
        <v>362</v>
      </c>
      <c r="E199" s="56" t="s">
        <v>456</v>
      </c>
      <c r="F199" s="27">
        <v>1.5</v>
      </c>
      <c r="G199" s="4" t="s">
        <v>77</v>
      </c>
      <c r="H199" s="18" t="s">
        <v>391</v>
      </c>
      <c r="I199" s="4">
        <v>1</v>
      </c>
      <c r="J199" s="36" t="s">
        <v>24</v>
      </c>
      <c r="K199" s="18" t="s">
        <v>380</v>
      </c>
      <c r="L199" s="5">
        <v>4</v>
      </c>
      <c r="M199" s="47" t="s">
        <v>22</v>
      </c>
      <c r="N199" s="58" t="s">
        <v>563</v>
      </c>
      <c r="O199" s="4">
        <v>1</v>
      </c>
      <c r="P199" s="12">
        <v>25</v>
      </c>
      <c r="Q199" s="51">
        <v>16</v>
      </c>
      <c r="R199" s="27">
        <v>38</v>
      </c>
      <c r="S199" s="46" t="s">
        <v>359</v>
      </c>
    </row>
    <row r="200" spans="1:19" ht="16">
      <c r="A200" s="101" t="s">
        <v>589</v>
      </c>
      <c r="B200" s="101" t="s">
        <v>489</v>
      </c>
      <c r="C200" s="102">
        <v>1</v>
      </c>
      <c r="D200" s="101" t="s">
        <v>352</v>
      </c>
      <c r="E200" s="63" t="s">
        <v>455</v>
      </c>
      <c r="F200" s="102">
        <v>1</v>
      </c>
      <c r="G200" s="103" t="s">
        <v>59</v>
      </c>
      <c r="H200" s="65" t="s">
        <v>390</v>
      </c>
      <c r="I200" s="102">
        <v>1.3</v>
      </c>
      <c r="J200" s="104" t="s">
        <v>162</v>
      </c>
      <c r="K200" s="62" t="s">
        <v>384</v>
      </c>
      <c r="L200" s="102">
        <v>2</v>
      </c>
      <c r="M200" s="105" t="s">
        <v>240</v>
      </c>
      <c r="N200" s="65" t="s">
        <v>437</v>
      </c>
      <c r="O200" s="105">
        <v>0.5</v>
      </c>
      <c r="P200" s="105">
        <v>60</v>
      </c>
      <c r="Q200" s="105">
        <v>12</v>
      </c>
      <c r="R200" s="105">
        <v>30</v>
      </c>
      <c r="S200" s="105" t="s">
        <v>241</v>
      </c>
    </row>
    <row r="201" spans="1:19" ht="16">
      <c r="A201" s="109" t="s">
        <v>590</v>
      </c>
      <c r="B201" s="110" t="s">
        <v>591</v>
      </c>
      <c r="C201" s="62">
        <v>1</v>
      </c>
      <c r="D201" s="109" t="s">
        <v>592</v>
      </c>
      <c r="E201" s="109" t="s">
        <v>593</v>
      </c>
      <c r="F201" s="65">
        <v>1</v>
      </c>
      <c r="G201" s="111" t="s">
        <v>59</v>
      </c>
      <c r="H201" s="65" t="s">
        <v>390</v>
      </c>
      <c r="I201" s="106">
        <v>1.3</v>
      </c>
      <c r="J201" s="112" t="s">
        <v>162</v>
      </c>
      <c r="K201" s="62" t="s">
        <v>384</v>
      </c>
      <c r="L201" s="106">
        <v>2</v>
      </c>
      <c r="M201" s="112" t="s">
        <v>22</v>
      </c>
      <c r="N201" s="65" t="s">
        <v>563</v>
      </c>
      <c r="O201" s="106">
        <v>0.5</v>
      </c>
      <c r="P201" s="106">
        <v>60</v>
      </c>
      <c r="Q201" s="106">
        <v>12</v>
      </c>
      <c r="R201" s="106">
        <v>78</v>
      </c>
      <c r="S201" s="107" t="s">
        <v>241</v>
      </c>
    </row>
    <row r="202" spans="1:19" ht="16">
      <c r="A202" s="109" t="s">
        <v>590</v>
      </c>
      <c r="B202" s="110" t="s">
        <v>591</v>
      </c>
      <c r="C202" s="62">
        <v>1</v>
      </c>
      <c r="D202" s="109" t="s">
        <v>592</v>
      </c>
      <c r="E202" s="109" t="s">
        <v>593</v>
      </c>
      <c r="F202" s="65">
        <v>1</v>
      </c>
      <c r="G202" s="111" t="s">
        <v>59</v>
      </c>
      <c r="H202" s="65" t="s">
        <v>390</v>
      </c>
      <c r="I202" s="106">
        <v>1.3</v>
      </c>
      <c r="J202" s="112" t="s">
        <v>162</v>
      </c>
      <c r="K202" s="62" t="s">
        <v>384</v>
      </c>
      <c r="L202" s="106">
        <v>2</v>
      </c>
      <c r="M202" s="112" t="s">
        <v>16</v>
      </c>
      <c r="N202" s="65" t="s">
        <v>562</v>
      </c>
      <c r="O202" s="106">
        <v>0.5</v>
      </c>
      <c r="P202" s="106">
        <v>60</v>
      </c>
      <c r="Q202" s="106">
        <v>12</v>
      </c>
      <c r="R202" s="106">
        <v>77</v>
      </c>
      <c r="S202" s="107" t="s">
        <v>241</v>
      </c>
    </row>
    <row r="203" spans="1:19" ht="16">
      <c r="A203" s="109" t="s">
        <v>590</v>
      </c>
      <c r="B203" s="110" t="s">
        <v>591</v>
      </c>
      <c r="C203" s="113">
        <v>1</v>
      </c>
      <c r="D203" s="109" t="s">
        <v>592</v>
      </c>
      <c r="E203" s="109" t="s">
        <v>593</v>
      </c>
      <c r="F203" s="65">
        <v>1</v>
      </c>
      <c r="G203" s="111" t="s">
        <v>59</v>
      </c>
      <c r="H203" s="65" t="s">
        <v>390</v>
      </c>
      <c r="I203" s="106">
        <v>1.3</v>
      </c>
      <c r="J203" s="112" t="s">
        <v>162</v>
      </c>
      <c r="K203" s="62" t="s">
        <v>384</v>
      </c>
      <c r="L203" s="106">
        <v>2</v>
      </c>
      <c r="M203" s="112" t="s">
        <v>40</v>
      </c>
      <c r="N203" s="65" t="s">
        <v>423</v>
      </c>
      <c r="O203" s="106">
        <v>0.5</v>
      </c>
      <c r="P203" s="106">
        <v>60</v>
      </c>
      <c r="Q203" s="106">
        <v>12</v>
      </c>
      <c r="R203" s="106">
        <v>90</v>
      </c>
      <c r="S203" s="108" t="s">
        <v>241</v>
      </c>
    </row>
  </sheetData>
  <hyperlinks>
    <hyperlink ref="S2" r:id="rId1" tooltip="Link to landing page via DOI" xr:uid="{0604482A-DF9A-4245-82A6-90D163BDACB4}"/>
    <hyperlink ref="S3" r:id="rId2" tooltip="DOI URL" xr:uid="{D2EB2BB5-33DA-1F40-BCD4-65B82E4627F1}"/>
    <hyperlink ref="S4" r:id="rId3" xr:uid="{B74F3B52-B8BC-2E4F-8006-E71572CBE951}"/>
    <hyperlink ref="S5" r:id="rId4" xr:uid="{478F574B-CA60-BC4D-9029-A6FE33E63B9E}"/>
    <hyperlink ref="S6" r:id="rId5" xr:uid="{B85490A1-78F4-5F40-AF94-4705E8FA11DD}"/>
    <hyperlink ref="S9" r:id="rId6" xr:uid="{1E5AC683-5A27-5F4F-BFFC-458B87F655B4}"/>
    <hyperlink ref="S10" r:id="rId7" xr:uid="{5FF2B83D-6260-BB4E-A317-C311BEB5B8BA}"/>
    <hyperlink ref="S12" r:id="rId8" tooltip="DOI URL" xr:uid="{7C734F76-A87E-D143-9A5F-F98458E6B1D3}"/>
    <hyperlink ref="S13" r:id="rId9" tooltip="Persistent link using digital object identifier" xr:uid="{202D0D7D-53D9-E649-8320-75A701F1510B}"/>
    <hyperlink ref="S15" r:id="rId10" xr:uid="{77C55B38-4E38-4748-9DB6-1565B6106708}"/>
    <hyperlink ref="S16" r:id="rId11" tooltip="DOI URL" xr:uid="{C10DD68B-B089-5D49-8E6C-C0D8451431D6}"/>
    <hyperlink ref="S18" r:id="rId12" tooltip="Link to landing page via DOI" xr:uid="{6AC128AB-6067-874A-9B37-4BEC3ACC7FB0}"/>
    <hyperlink ref="S19" r:id="rId13" tooltip="Link to landing page via DOI" xr:uid="{D4C6F4AB-F183-5B45-8315-CB5131150E1B}"/>
    <hyperlink ref="S20" r:id="rId14" tooltip="DOI URL" xr:uid="{4F64FDBC-6B4C-EA40-940C-4DD794DA9A77}"/>
    <hyperlink ref="S22" r:id="rId15" tooltip="DOI URL" xr:uid="{3CFC83D1-5BE7-DC47-B0FE-F6E570A0DB09}"/>
    <hyperlink ref="S24" r:id="rId16" tooltip="DOI URL" xr:uid="{A0E772C7-2EF9-6B43-A326-A36EC87AE84C}"/>
    <hyperlink ref="S76" r:id="rId17" xr:uid="{5B57DB98-0E60-3146-A7D9-CF4EC132BAAE}"/>
    <hyperlink ref="S66" r:id="rId18" xr:uid="{FB60EED0-B9B6-4847-94C8-E403DA04A357}"/>
    <hyperlink ref="S88" r:id="rId19" xr:uid="{9D4B7648-B950-6F44-9E37-8CA56ADB4479}"/>
    <hyperlink ref="S91" r:id="rId20" xr:uid="{8F99FE77-985F-8A45-9513-80F9B78CE3DD}"/>
    <hyperlink ref="S94" r:id="rId21" xr:uid="{A884C801-BE64-B449-B377-FD1C374284C9}"/>
    <hyperlink ref="S124" r:id="rId22" xr:uid="{A6BC0049-9AE1-3145-8A8B-30BFD2089BD5}"/>
    <hyperlink ref="S129" r:id="rId23" xr:uid="{360FEF05-3F10-BE41-A3D5-608BA6DE0347}"/>
    <hyperlink ref="S130:S133" r:id="rId24" display="https://pubs.acs.org/doi/10.1021/acs.orglett.0c01676." xr:uid="{C64C5B17-D6D9-014E-8331-FB2789073E4C}"/>
    <hyperlink ref="S134" r:id="rId25" xr:uid="{23644D28-540A-D04C-8E09-3E759202005E}"/>
    <hyperlink ref="S135:S138" r:id="rId26" display="https://doi.org/10.1039/D3QO01705B" xr:uid="{8AD80237-46EA-1841-B7E3-6FE5888C8100}"/>
    <hyperlink ref="S143" r:id="rId27" xr:uid="{F4E8D6CE-EF34-7640-88DA-9737A64DC566}"/>
    <hyperlink ref="S144" r:id="rId28" xr:uid="{FA1C66BF-7065-4743-A566-81C1ABCCA257}"/>
    <hyperlink ref="S145" r:id="rId29" xr:uid="{2DFA150B-32D2-D243-9D6E-92477F6C9C1B}"/>
    <hyperlink ref="S146" r:id="rId30" xr:uid="{811071AD-FB0D-E445-834F-DBFC2BEAF2C8}"/>
    <hyperlink ref="S147" r:id="rId31" xr:uid="{D52CD7D3-6A70-9F4D-824C-9F5216BB469A}"/>
    <hyperlink ref="S148" r:id="rId32" xr:uid="{171534CF-1B03-C04D-8276-93A1A4C3532A}"/>
    <hyperlink ref="S140" r:id="rId33" xr:uid="{AF5220C2-D053-F24F-AF23-7715AAD0496D}"/>
    <hyperlink ref="S139" r:id="rId34" xr:uid="{55644C6E-3ADD-A443-9208-0303577CF735}"/>
    <hyperlink ref="S141" r:id="rId35" xr:uid="{D741DD75-6DA6-0B42-97A3-910B398863B0}"/>
    <hyperlink ref="S142" r:id="rId36" xr:uid="{88179931-AC31-D449-8A2B-ADF2322F6B43}"/>
    <hyperlink ref="S149" r:id="rId37" xr:uid="{B0BC8C6C-02D6-BE42-8C08-36EAF03682DA}"/>
    <hyperlink ref="S150" r:id="rId38" xr:uid="{DC367507-E882-DF46-85FC-7D9A9204D7C5}"/>
    <hyperlink ref="S151" r:id="rId39" xr:uid="{F18B0528-21D6-2840-8931-80A243443CD7}"/>
    <hyperlink ref="S152" r:id="rId40" xr:uid="{B86D91CC-1644-2A4D-AAB7-A625F3A41DD3}"/>
    <hyperlink ref="S153" r:id="rId41" xr:uid="{42994858-F47D-364B-9D0B-E3B5021ACA5F}"/>
    <hyperlink ref="S125" r:id="rId42" xr:uid="{F4DA2802-4765-014B-9316-7875166D17E3}"/>
    <hyperlink ref="S126" r:id="rId43" xr:uid="{72110844-DC51-5145-B01D-09EBC4143C2A}"/>
    <hyperlink ref="S127" r:id="rId44" xr:uid="{93D24271-63B9-E84D-B28F-A3C294E36107}"/>
    <hyperlink ref="S128" r:id="rId45" xr:uid="{15140C7B-5460-1A4B-8E08-699026E23D50}"/>
    <hyperlink ref="S178" r:id="rId46" xr:uid="{98B12951-FE8E-774A-9229-4E907C693B78}"/>
    <hyperlink ref="S179" r:id="rId47" xr:uid="{F194F5CA-C388-9740-AF89-9705A9F4E42F}"/>
    <hyperlink ref="S180" r:id="rId48" xr:uid="{E34C7103-0F9E-774A-9CEB-822F91CFA00A}"/>
    <hyperlink ref="S182" r:id="rId49" xr:uid="{EBCD72E9-92E9-F343-A9B4-B4A6CDDC37D7}"/>
    <hyperlink ref="S183" r:id="rId50" display="https://doi.org/10.1016/j.tet.2008.09.094" xr:uid="{C873048D-6F4F-E645-A7B5-22FA8FB9F73D}"/>
    <hyperlink ref="S184" r:id="rId51" display="https://doi.org/10.1111/cbdd.13039" xr:uid="{50ACACBC-5E67-F94D-AE19-B9599B6D4F0F}"/>
    <hyperlink ref="S185" r:id="rId52" xr:uid="{0B7BA987-A21C-DB40-A8BF-B86FF0E17500}"/>
    <hyperlink ref="S188" r:id="rId53" tooltip="DOI URL" xr:uid="{193E29FD-ED23-D34A-891A-0E1802431B38}"/>
    <hyperlink ref="S189" r:id="rId54" xr:uid="{73FFAD53-7A6B-5D40-A89F-4B0B6A441B7F}"/>
    <hyperlink ref="S190" r:id="rId55" tooltip="DOI URL" xr:uid="{6CE868E3-518C-1B4E-BB0B-5E90E195EC6F}"/>
    <hyperlink ref="S191" r:id="rId56" display="https://doi.org/10.1016/j.bmc.2017.05.015" xr:uid="{8C8F4A88-E769-404A-A086-FF79F08FBD87}"/>
    <hyperlink ref="S175" r:id="rId57" display="https://doi.org/10.1016/j.tet.2008.09.094" xr:uid="{008EC18D-04D6-CD46-AAC6-2E5F6B39C880}"/>
    <hyperlink ref="S192" r:id="rId58" display="https://doi.org/10.1016/j.ejmech.2023.116101" xr:uid="{0F93F263-E570-FF42-95B6-EF970DCF5D3D}"/>
    <hyperlink ref="S194" r:id="rId59" display="https://doi.org/10.1021/jm200256g" xr:uid="{5B05B0E9-0D5A-2F41-B81F-903479C41A47}"/>
    <hyperlink ref="S200" r:id="rId60" xr:uid="{FCC5B4DC-72D4-FC4A-8A40-59C3642B245A}"/>
    <hyperlink ref="S201" r:id="rId61" xr:uid="{BABBF1B9-B473-3E48-B7A5-EB672469513D}"/>
    <hyperlink ref="S202" r:id="rId62" xr:uid="{F3E64131-E832-3D45-B516-AB47A2DBA7D0}"/>
    <hyperlink ref="S203" r:id="rId63" display="https://pubs.acs.org/doi/10.1021/acs.orglett.0c01676?goto=supporting-info" xr:uid="{86A73CAE-AEF9-6940-90C3-BC1D283B8B0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1FCA-6A94-8D42-9C97-5AD7F61F542C}">
  <dimension ref="A1:S191"/>
  <sheetViews>
    <sheetView topLeftCell="A160" workbookViewId="0">
      <selection activeCell="A174" sqref="A174:S191"/>
    </sheetView>
  </sheetViews>
  <sheetFormatPr baseColWidth="10" defaultRowHeight="15"/>
  <cols>
    <col min="1" max="1" width="72" bestFit="1" customWidth="1"/>
    <col min="19" max="19" width="103.1640625" bestFit="1" customWidth="1"/>
  </cols>
  <sheetData>
    <row r="1" spans="1:19" ht="16">
      <c r="A1" s="25" t="s">
        <v>0</v>
      </c>
      <c r="B1" s="25" t="s">
        <v>575</v>
      </c>
      <c r="C1" s="13" t="s">
        <v>1</v>
      </c>
      <c r="D1" s="25" t="s">
        <v>2</v>
      </c>
      <c r="E1" s="25" t="s">
        <v>576</v>
      </c>
      <c r="F1" s="25" t="s">
        <v>3</v>
      </c>
      <c r="G1" s="13" t="s">
        <v>4</v>
      </c>
      <c r="H1" s="25" t="s">
        <v>577</v>
      </c>
      <c r="I1" s="13" t="s">
        <v>5</v>
      </c>
      <c r="J1" s="25" t="s">
        <v>6</v>
      </c>
      <c r="K1" s="13" t="s">
        <v>578</v>
      </c>
      <c r="L1" s="13" t="s">
        <v>7</v>
      </c>
      <c r="M1" s="13" t="s">
        <v>8</v>
      </c>
      <c r="N1" s="13" t="s">
        <v>579</v>
      </c>
      <c r="O1" s="13" t="s">
        <v>9</v>
      </c>
      <c r="P1" s="7" t="s">
        <v>10</v>
      </c>
      <c r="Q1" s="8" t="s">
        <v>11</v>
      </c>
      <c r="R1" s="52" t="s">
        <v>217</v>
      </c>
      <c r="S1" s="13" t="s">
        <v>12</v>
      </c>
    </row>
    <row r="2" spans="1:19" ht="16">
      <c r="A2" s="10" t="s">
        <v>13</v>
      </c>
      <c r="B2" s="94" t="s">
        <v>365</v>
      </c>
      <c r="C2" s="15">
        <v>1</v>
      </c>
      <c r="D2" s="10" t="s">
        <v>14</v>
      </c>
      <c r="E2" s="10" t="s">
        <v>382</v>
      </c>
      <c r="F2" s="10">
        <v>1.1000000000000001</v>
      </c>
      <c r="G2" s="15" t="s">
        <v>15</v>
      </c>
      <c r="H2" s="15" t="s">
        <v>392</v>
      </c>
      <c r="I2" s="15">
        <v>1.1000000000000001</v>
      </c>
      <c r="J2" s="10" t="s">
        <v>14</v>
      </c>
      <c r="K2" s="15" t="s">
        <v>382</v>
      </c>
      <c r="L2" s="15">
        <v>1</v>
      </c>
      <c r="M2" s="15" t="s">
        <v>16</v>
      </c>
      <c r="N2" s="58" t="s">
        <v>562</v>
      </c>
      <c r="O2" s="15">
        <v>0.6</v>
      </c>
      <c r="P2" s="9">
        <v>25</v>
      </c>
      <c r="Q2" s="1">
        <v>2</v>
      </c>
      <c r="R2" s="10">
        <v>96</v>
      </c>
      <c r="S2" s="15" t="s">
        <v>17</v>
      </c>
    </row>
    <row r="3" spans="1:19" ht="16">
      <c r="A3" s="10" t="s">
        <v>13</v>
      </c>
      <c r="B3" s="33" t="s">
        <v>365</v>
      </c>
      <c r="C3" s="15">
        <v>1</v>
      </c>
      <c r="D3" s="10" t="s">
        <v>14</v>
      </c>
      <c r="E3" s="10" t="s">
        <v>382</v>
      </c>
      <c r="F3" s="10">
        <v>1.1000000000000001</v>
      </c>
      <c r="G3" s="15" t="s">
        <v>18</v>
      </c>
      <c r="H3" s="14" t="s">
        <v>393</v>
      </c>
      <c r="I3" s="15">
        <v>1.5</v>
      </c>
      <c r="J3" s="10" t="s">
        <v>14</v>
      </c>
      <c r="K3" s="15" t="s">
        <v>382</v>
      </c>
      <c r="L3" s="15">
        <v>1</v>
      </c>
      <c r="M3" s="15" t="s">
        <v>16</v>
      </c>
      <c r="N3" s="58" t="s">
        <v>562</v>
      </c>
      <c r="O3" s="15">
        <v>0.25</v>
      </c>
      <c r="P3" s="9">
        <v>25</v>
      </c>
      <c r="Q3" s="1">
        <v>1.5</v>
      </c>
      <c r="R3" s="10">
        <v>88</v>
      </c>
      <c r="S3" s="15" t="s">
        <v>19</v>
      </c>
    </row>
    <row r="4" spans="1:19" ht="16">
      <c r="A4" s="10" t="s">
        <v>13</v>
      </c>
      <c r="B4" s="33" t="s">
        <v>365</v>
      </c>
      <c r="C4" s="15">
        <v>1</v>
      </c>
      <c r="D4" s="10" t="s">
        <v>14</v>
      </c>
      <c r="E4" s="10" t="s">
        <v>382</v>
      </c>
      <c r="F4" s="10">
        <v>1.1000000000000001</v>
      </c>
      <c r="G4" s="15" t="s">
        <v>20</v>
      </c>
      <c r="H4" s="59" t="s">
        <v>561</v>
      </c>
      <c r="I4" s="15">
        <v>1.5</v>
      </c>
      <c r="J4" s="10" t="s">
        <v>21</v>
      </c>
      <c r="K4" s="14" t="s">
        <v>380</v>
      </c>
      <c r="L4" s="15">
        <v>2</v>
      </c>
      <c r="M4" s="15" t="s">
        <v>22</v>
      </c>
      <c r="N4" s="58" t="s">
        <v>563</v>
      </c>
      <c r="O4" s="15">
        <v>0.5</v>
      </c>
      <c r="P4" s="9">
        <v>25</v>
      </c>
      <c r="Q4" s="1">
        <v>1</v>
      </c>
      <c r="R4" s="10">
        <v>96</v>
      </c>
      <c r="S4" s="15" t="s">
        <v>23</v>
      </c>
    </row>
    <row r="5" spans="1:19" ht="16">
      <c r="A5" s="26" t="s">
        <v>57</v>
      </c>
      <c r="B5" s="33" t="s">
        <v>366</v>
      </c>
      <c r="C5" s="15">
        <v>1</v>
      </c>
      <c r="D5" s="10" t="s">
        <v>14</v>
      </c>
      <c r="E5" s="10" t="s">
        <v>382</v>
      </c>
      <c r="F5" s="10">
        <v>1.1000000000000001</v>
      </c>
      <c r="G5" s="15" t="s">
        <v>20</v>
      </c>
      <c r="H5" s="59" t="s">
        <v>561</v>
      </c>
      <c r="I5" s="15">
        <v>1.5</v>
      </c>
      <c r="J5" s="10" t="s">
        <v>24</v>
      </c>
      <c r="K5" s="14" t="s">
        <v>380</v>
      </c>
      <c r="L5" s="15">
        <v>2</v>
      </c>
      <c r="M5" s="15" t="s">
        <v>22</v>
      </c>
      <c r="N5" s="58" t="s">
        <v>563</v>
      </c>
      <c r="O5" s="15">
        <v>0.5</v>
      </c>
      <c r="P5" s="9">
        <v>25</v>
      </c>
      <c r="Q5" s="1">
        <v>16</v>
      </c>
      <c r="R5" s="10">
        <v>90</v>
      </c>
      <c r="S5" s="15" t="s">
        <v>25</v>
      </c>
    </row>
    <row r="6" spans="1:19" ht="16">
      <c r="A6" s="26" t="s">
        <v>57</v>
      </c>
      <c r="B6" s="33" t="s">
        <v>366</v>
      </c>
      <c r="C6" s="15">
        <v>1</v>
      </c>
      <c r="D6" s="10" t="s">
        <v>14</v>
      </c>
      <c r="E6" s="10" t="s">
        <v>382</v>
      </c>
      <c r="F6" s="10">
        <v>1.1000000000000001</v>
      </c>
      <c r="G6" s="15" t="s">
        <v>20</v>
      </c>
      <c r="H6" s="59" t="s">
        <v>561</v>
      </c>
      <c r="I6" s="15">
        <v>1.5</v>
      </c>
      <c r="J6" s="10" t="s">
        <v>24</v>
      </c>
      <c r="K6" s="14" t="s">
        <v>380</v>
      </c>
      <c r="L6" s="15">
        <v>2</v>
      </c>
      <c r="M6" s="15" t="s">
        <v>22</v>
      </c>
      <c r="N6" s="58" t="s">
        <v>563</v>
      </c>
      <c r="O6" s="15">
        <v>0.5</v>
      </c>
      <c r="P6" s="9">
        <v>25</v>
      </c>
      <c r="Q6" s="1">
        <v>16</v>
      </c>
      <c r="R6" s="10">
        <v>86</v>
      </c>
      <c r="S6" s="15" t="s">
        <v>26</v>
      </c>
    </row>
    <row r="7" spans="1:19" ht="16">
      <c r="A7" s="10" t="s">
        <v>13</v>
      </c>
      <c r="B7" s="33" t="s">
        <v>365</v>
      </c>
      <c r="C7" s="15">
        <v>1</v>
      </c>
      <c r="D7" s="10" t="s">
        <v>27</v>
      </c>
      <c r="E7" s="19" t="s">
        <v>379</v>
      </c>
      <c r="F7" s="10">
        <v>1.1000000000000001</v>
      </c>
      <c r="G7" s="15" t="s">
        <v>28</v>
      </c>
      <c r="H7" s="14" t="s">
        <v>394</v>
      </c>
      <c r="I7" s="15">
        <v>1.1000000000000001</v>
      </c>
      <c r="J7" s="10" t="s">
        <v>27</v>
      </c>
      <c r="K7" s="14" t="s">
        <v>379</v>
      </c>
      <c r="L7" s="15">
        <v>2</v>
      </c>
      <c r="M7" s="15" t="s">
        <v>22</v>
      </c>
      <c r="N7" s="58" t="s">
        <v>563</v>
      </c>
      <c r="O7" s="15">
        <v>0.42</v>
      </c>
      <c r="P7" s="9">
        <v>25</v>
      </c>
      <c r="Q7" s="1">
        <v>2</v>
      </c>
      <c r="R7" s="10">
        <v>90</v>
      </c>
      <c r="S7" s="15" t="s">
        <v>29</v>
      </c>
    </row>
    <row r="8" spans="1:19" ht="16">
      <c r="A8" s="10" t="s">
        <v>13</v>
      </c>
      <c r="B8" s="33" t="s">
        <v>365</v>
      </c>
      <c r="C8" s="15">
        <v>1</v>
      </c>
      <c r="D8" s="10" t="s">
        <v>27</v>
      </c>
      <c r="E8" s="19" t="s">
        <v>379</v>
      </c>
      <c r="F8" s="10">
        <v>2</v>
      </c>
      <c r="G8" s="15" t="s">
        <v>30</v>
      </c>
      <c r="H8" s="14" t="s">
        <v>391</v>
      </c>
      <c r="I8" s="15">
        <v>1.2</v>
      </c>
      <c r="J8" s="44" t="s">
        <v>196</v>
      </c>
      <c r="K8" s="14" t="s">
        <v>381</v>
      </c>
      <c r="L8" s="15">
        <v>2</v>
      </c>
      <c r="M8" s="15" t="s">
        <v>16</v>
      </c>
      <c r="N8" s="58" t="s">
        <v>562</v>
      </c>
      <c r="O8" s="15">
        <v>0.14000000000000001</v>
      </c>
      <c r="P8" s="9">
        <v>25</v>
      </c>
      <c r="Q8" s="1">
        <v>5</v>
      </c>
      <c r="R8" s="10">
        <v>95</v>
      </c>
      <c r="S8" s="15" t="s">
        <v>31</v>
      </c>
    </row>
    <row r="9" spans="1:19" ht="16">
      <c r="A9" s="10" t="s">
        <v>13</v>
      </c>
      <c r="B9" s="33" t="s">
        <v>365</v>
      </c>
      <c r="C9" s="15">
        <v>1</v>
      </c>
      <c r="D9" s="10" t="s">
        <v>27</v>
      </c>
      <c r="E9" s="19" t="s">
        <v>379</v>
      </c>
      <c r="F9" s="10">
        <v>1.2</v>
      </c>
      <c r="G9" s="15" t="s">
        <v>18</v>
      </c>
      <c r="H9" s="14" t="s">
        <v>393</v>
      </c>
      <c r="I9" s="15">
        <v>1.1000000000000001</v>
      </c>
      <c r="J9" s="10" t="s">
        <v>27</v>
      </c>
      <c r="K9" s="14" t="s">
        <v>379</v>
      </c>
      <c r="L9" s="15">
        <v>2</v>
      </c>
      <c r="M9" s="15" t="s">
        <v>16</v>
      </c>
      <c r="N9" s="58" t="s">
        <v>562</v>
      </c>
      <c r="O9" s="15">
        <v>0.56000000000000005</v>
      </c>
      <c r="P9" s="9">
        <v>25</v>
      </c>
      <c r="Q9" s="1">
        <v>16</v>
      </c>
      <c r="R9" s="10">
        <v>61</v>
      </c>
      <c r="S9" s="15" t="s">
        <v>32</v>
      </c>
    </row>
    <row r="10" spans="1:19" ht="16">
      <c r="A10" s="10" t="s">
        <v>13</v>
      </c>
      <c r="B10" s="33" t="s">
        <v>365</v>
      </c>
      <c r="C10" s="15">
        <v>1</v>
      </c>
      <c r="D10" s="10" t="s">
        <v>27</v>
      </c>
      <c r="E10" s="19" t="s">
        <v>379</v>
      </c>
      <c r="F10" s="10">
        <v>1.2</v>
      </c>
      <c r="G10" s="15" t="s">
        <v>15</v>
      </c>
      <c r="H10" s="15" t="s">
        <v>392</v>
      </c>
      <c r="I10" s="15">
        <v>1.2</v>
      </c>
      <c r="J10" s="44" t="s">
        <v>196</v>
      </c>
      <c r="K10" s="14" t="s">
        <v>381</v>
      </c>
      <c r="L10" s="15">
        <v>1.2</v>
      </c>
      <c r="M10" s="15" t="s">
        <v>16</v>
      </c>
      <c r="N10" s="58" t="s">
        <v>562</v>
      </c>
      <c r="O10" s="15">
        <v>0.5</v>
      </c>
      <c r="P10" s="9">
        <v>21</v>
      </c>
      <c r="Q10" s="1">
        <v>16</v>
      </c>
      <c r="R10" s="10">
        <v>95</v>
      </c>
      <c r="S10" s="15" t="s">
        <v>33</v>
      </c>
    </row>
    <row r="11" spans="1:19" ht="16">
      <c r="A11" s="10" t="s">
        <v>13</v>
      </c>
      <c r="B11" s="33" t="s">
        <v>365</v>
      </c>
      <c r="C11" s="15">
        <v>1</v>
      </c>
      <c r="D11" s="10" t="s">
        <v>27</v>
      </c>
      <c r="E11" s="19" t="s">
        <v>379</v>
      </c>
      <c r="F11" s="10">
        <v>1.1000000000000001</v>
      </c>
      <c r="G11" s="15" t="s">
        <v>34</v>
      </c>
      <c r="H11" s="15" t="s">
        <v>396</v>
      </c>
      <c r="I11" s="15">
        <v>1.3</v>
      </c>
      <c r="J11" s="10" t="s">
        <v>21</v>
      </c>
      <c r="K11" s="14" t="s">
        <v>380</v>
      </c>
      <c r="L11" s="15">
        <v>2.2000000000000002</v>
      </c>
      <c r="M11" s="15" t="s">
        <v>16</v>
      </c>
      <c r="N11" s="58" t="s">
        <v>562</v>
      </c>
      <c r="O11" s="15">
        <v>0.36</v>
      </c>
      <c r="P11" s="9">
        <v>25</v>
      </c>
      <c r="Q11" s="1">
        <v>6</v>
      </c>
      <c r="R11" s="10">
        <v>90</v>
      </c>
      <c r="S11" s="15" t="s">
        <v>35</v>
      </c>
    </row>
    <row r="12" spans="1:19" ht="16">
      <c r="A12" s="10" t="s">
        <v>36</v>
      </c>
      <c r="B12" s="33" t="s">
        <v>367</v>
      </c>
      <c r="C12" s="15">
        <v>1</v>
      </c>
      <c r="D12" s="10" t="s">
        <v>27</v>
      </c>
      <c r="E12" s="19" t="s">
        <v>379</v>
      </c>
      <c r="F12" s="10">
        <v>1.36</v>
      </c>
      <c r="G12" s="15" t="s">
        <v>15</v>
      </c>
      <c r="H12" s="15" t="s">
        <v>392</v>
      </c>
      <c r="I12" s="15">
        <v>1.2</v>
      </c>
      <c r="J12" s="10" t="s">
        <v>21</v>
      </c>
      <c r="K12" s="14" t="s">
        <v>380</v>
      </c>
      <c r="L12" s="15">
        <v>1.36</v>
      </c>
      <c r="M12" s="15" t="s">
        <v>22</v>
      </c>
      <c r="N12" s="58" t="s">
        <v>563</v>
      </c>
      <c r="O12" s="15">
        <v>0.4</v>
      </c>
      <c r="P12" s="9">
        <v>25</v>
      </c>
      <c r="Q12" s="1">
        <v>16</v>
      </c>
      <c r="R12" s="10">
        <v>95</v>
      </c>
      <c r="S12" s="15" t="s">
        <v>37</v>
      </c>
    </row>
    <row r="13" spans="1:19" ht="16">
      <c r="A13" s="10" t="s">
        <v>36</v>
      </c>
      <c r="B13" s="33" t="s">
        <v>367</v>
      </c>
      <c r="C13" s="15">
        <v>1</v>
      </c>
      <c r="D13" s="10" t="s">
        <v>27</v>
      </c>
      <c r="E13" s="19" t="s">
        <v>379</v>
      </c>
      <c r="F13" s="10">
        <v>1.2</v>
      </c>
      <c r="G13" s="15" t="s">
        <v>38</v>
      </c>
      <c r="H13" s="33" t="s">
        <v>398</v>
      </c>
      <c r="I13" s="15">
        <v>1.2</v>
      </c>
      <c r="J13" s="10" t="s">
        <v>27</v>
      </c>
      <c r="K13" s="14" t="s">
        <v>379</v>
      </c>
      <c r="L13" s="15">
        <v>2</v>
      </c>
      <c r="M13" s="15" t="s">
        <v>16</v>
      </c>
      <c r="N13" s="58" t="s">
        <v>562</v>
      </c>
      <c r="O13" s="15">
        <v>0.25</v>
      </c>
      <c r="P13" s="9">
        <v>25</v>
      </c>
      <c r="Q13" s="1">
        <v>5</v>
      </c>
      <c r="R13" s="10">
        <v>91</v>
      </c>
      <c r="S13" s="15" t="s">
        <v>39</v>
      </c>
    </row>
    <row r="14" spans="1:19" ht="16">
      <c r="A14" s="10" t="s">
        <v>36</v>
      </c>
      <c r="B14" s="33" t="s">
        <v>367</v>
      </c>
      <c r="C14" s="15">
        <v>1</v>
      </c>
      <c r="D14" s="10" t="s">
        <v>27</v>
      </c>
      <c r="E14" s="19" t="s">
        <v>379</v>
      </c>
      <c r="F14" s="10">
        <v>2</v>
      </c>
      <c r="G14" s="15" t="s">
        <v>18</v>
      </c>
      <c r="H14" s="14" t="s">
        <v>393</v>
      </c>
      <c r="I14" s="15">
        <v>1</v>
      </c>
      <c r="J14" s="10" t="s">
        <v>27</v>
      </c>
      <c r="K14" s="14" t="s">
        <v>379</v>
      </c>
      <c r="L14" s="15">
        <v>2</v>
      </c>
      <c r="M14" s="15" t="s">
        <v>40</v>
      </c>
      <c r="N14" s="14" t="s">
        <v>423</v>
      </c>
      <c r="O14" s="15">
        <v>0.5</v>
      </c>
      <c r="P14" s="9">
        <v>25</v>
      </c>
      <c r="Q14" s="1">
        <v>16</v>
      </c>
      <c r="R14" s="10">
        <v>98</v>
      </c>
      <c r="S14" s="15" t="s">
        <v>41</v>
      </c>
    </row>
    <row r="15" spans="1:19" ht="16">
      <c r="A15" s="10" t="s">
        <v>36</v>
      </c>
      <c r="B15" s="33" t="s">
        <v>367</v>
      </c>
      <c r="C15" s="15">
        <v>1</v>
      </c>
      <c r="D15" s="10" t="s">
        <v>27</v>
      </c>
      <c r="E15" s="19" t="s">
        <v>379</v>
      </c>
      <c r="F15" s="10">
        <v>2</v>
      </c>
      <c r="G15" s="15" t="s">
        <v>15</v>
      </c>
      <c r="H15" s="15" t="s">
        <v>392</v>
      </c>
      <c r="I15" s="15">
        <v>1.1000000000000001</v>
      </c>
      <c r="J15" s="10" t="s">
        <v>27</v>
      </c>
      <c r="K15" s="14" t="s">
        <v>379</v>
      </c>
      <c r="L15" s="15">
        <v>2</v>
      </c>
      <c r="M15" s="15" t="s">
        <v>16</v>
      </c>
      <c r="N15" s="58" t="s">
        <v>562</v>
      </c>
      <c r="O15" s="15">
        <v>0.5</v>
      </c>
      <c r="P15" s="9">
        <v>25</v>
      </c>
      <c r="Q15" s="1">
        <v>24</v>
      </c>
      <c r="R15" s="10">
        <v>64</v>
      </c>
      <c r="S15" s="15" t="s">
        <v>42</v>
      </c>
    </row>
    <row r="16" spans="1:19" ht="16">
      <c r="A16" s="10" t="s">
        <v>36</v>
      </c>
      <c r="B16" s="33" t="s">
        <v>367</v>
      </c>
      <c r="C16" s="15">
        <v>1</v>
      </c>
      <c r="D16" s="10" t="s">
        <v>27</v>
      </c>
      <c r="E16" s="19" t="s">
        <v>379</v>
      </c>
      <c r="F16" s="10">
        <v>2</v>
      </c>
      <c r="G16" s="15" t="s">
        <v>15</v>
      </c>
      <c r="H16" s="15" t="s">
        <v>392</v>
      </c>
      <c r="I16" s="15">
        <v>1.1000000000000001</v>
      </c>
      <c r="J16" s="10" t="s">
        <v>27</v>
      </c>
      <c r="K16" s="14" t="s">
        <v>379</v>
      </c>
      <c r="L16" s="15">
        <v>2</v>
      </c>
      <c r="M16" s="15" t="s">
        <v>16</v>
      </c>
      <c r="N16" s="58" t="s">
        <v>562</v>
      </c>
      <c r="O16" s="15">
        <v>0.06</v>
      </c>
      <c r="P16" s="9">
        <v>25</v>
      </c>
      <c r="Q16" s="1">
        <v>24</v>
      </c>
      <c r="R16" s="10">
        <v>64</v>
      </c>
      <c r="S16" s="15" t="s">
        <v>43</v>
      </c>
    </row>
    <row r="17" spans="1:19" ht="16">
      <c r="A17" s="10" t="s">
        <v>44</v>
      </c>
      <c r="B17" s="33" t="s">
        <v>368</v>
      </c>
      <c r="C17" s="15">
        <v>1</v>
      </c>
      <c r="D17" s="10" t="s">
        <v>27</v>
      </c>
      <c r="E17" s="19" t="s">
        <v>379</v>
      </c>
      <c r="F17" s="10">
        <v>2</v>
      </c>
      <c r="G17" s="15" t="s">
        <v>30</v>
      </c>
      <c r="H17" s="14" t="s">
        <v>391</v>
      </c>
      <c r="I17" s="15">
        <v>1.2</v>
      </c>
      <c r="J17" s="44" t="s">
        <v>196</v>
      </c>
      <c r="K17" s="14" t="s">
        <v>381</v>
      </c>
      <c r="L17" s="15">
        <v>2</v>
      </c>
      <c r="M17" s="15" t="s">
        <v>16</v>
      </c>
      <c r="N17" s="58" t="s">
        <v>562</v>
      </c>
      <c r="O17" s="15">
        <v>0.15</v>
      </c>
      <c r="P17" s="9">
        <v>25</v>
      </c>
      <c r="Q17" s="1">
        <v>5</v>
      </c>
      <c r="R17" s="10">
        <v>95</v>
      </c>
      <c r="S17" s="15" t="s">
        <v>31</v>
      </c>
    </row>
    <row r="18" spans="1:19" ht="16">
      <c r="A18" s="10" t="s">
        <v>44</v>
      </c>
      <c r="B18" s="33" t="s">
        <v>368</v>
      </c>
      <c r="C18" s="15">
        <v>1</v>
      </c>
      <c r="D18" s="10" t="s">
        <v>27</v>
      </c>
      <c r="E18" s="19" t="s">
        <v>379</v>
      </c>
      <c r="F18" s="10">
        <v>2</v>
      </c>
      <c r="G18" s="15" t="s">
        <v>18</v>
      </c>
      <c r="H18" s="14" t="s">
        <v>393</v>
      </c>
      <c r="I18" s="15">
        <v>1.1000000000000001</v>
      </c>
      <c r="J18" s="10" t="s">
        <v>27</v>
      </c>
      <c r="K18" s="14" t="s">
        <v>379</v>
      </c>
      <c r="L18" s="15">
        <v>2</v>
      </c>
      <c r="M18" s="15" t="s">
        <v>16</v>
      </c>
      <c r="N18" s="58" t="s">
        <v>562</v>
      </c>
      <c r="O18" s="15">
        <v>0.19</v>
      </c>
      <c r="P18" s="9">
        <v>25</v>
      </c>
      <c r="Q18" s="1">
        <v>18</v>
      </c>
      <c r="R18" s="10">
        <v>89</v>
      </c>
      <c r="S18" s="15" t="s">
        <v>45</v>
      </c>
    </row>
    <row r="19" spans="1:19" ht="16">
      <c r="A19" s="10" t="s">
        <v>44</v>
      </c>
      <c r="B19" s="33" t="s">
        <v>368</v>
      </c>
      <c r="C19" s="15">
        <v>1</v>
      </c>
      <c r="D19" s="10" t="s">
        <v>27</v>
      </c>
      <c r="E19" s="19" t="s">
        <v>379</v>
      </c>
      <c r="F19" s="10">
        <v>2.1</v>
      </c>
      <c r="G19" s="15" t="s">
        <v>18</v>
      </c>
      <c r="H19" s="14" t="s">
        <v>393</v>
      </c>
      <c r="I19" s="15">
        <v>1.1000000000000001</v>
      </c>
      <c r="J19" s="10" t="s">
        <v>27</v>
      </c>
      <c r="K19" s="14" t="s">
        <v>379</v>
      </c>
      <c r="L19" s="15">
        <v>2</v>
      </c>
      <c r="M19" s="15" t="s">
        <v>16</v>
      </c>
      <c r="N19" s="58" t="s">
        <v>562</v>
      </c>
      <c r="O19" s="15">
        <v>0.2</v>
      </c>
      <c r="P19" s="9">
        <v>25</v>
      </c>
      <c r="Q19" s="1">
        <v>24</v>
      </c>
      <c r="R19" s="10">
        <v>82</v>
      </c>
      <c r="S19" s="15" t="s">
        <v>46</v>
      </c>
    </row>
    <row r="20" spans="1:19" ht="16">
      <c r="A20" s="10" t="s">
        <v>44</v>
      </c>
      <c r="B20" s="33" t="s">
        <v>368</v>
      </c>
      <c r="C20" s="15">
        <v>1.3</v>
      </c>
      <c r="D20" s="10" t="s">
        <v>27</v>
      </c>
      <c r="E20" s="19" t="s">
        <v>379</v>
      </c>
      <c r="F20" s="10">
        <v>1</v>
      </c>
      <c r="G20" s="15" t="s">
        <v>47</v>
      </c>
      <c r="H20" s="59" t="s">
        <v>561</v>
      </c>
      <c r="I20" s="15">
        <v>1.3</v>
      </c>
      <c r="J20" s="44" t="s">
        <v>196</v>
      </c>
      <c r="K20" s="14" t="s">
        <v>381</v>
      </c>
      <c r="L20" s="15">
        <v>4</v>
      </c>
      <c r="M20" s="15" t="s">
        <v>48</v>
      </c>
      <c r="N20" s="15" t="s">
        <v>425</v>
      </c>
      <c r="O20" s="15">
        <v>0.5</v>
      </c>
      <c r="P20" s="9">
        <v>25</v>
      </c>
      <c r="Q20" s="1">
        <v>16</v>
      </c>
      <c r="R20" s="10">
        <v>86</v>
      </c>
      <c r="S20" s="15" t="s">
        <v>49</v>
      </c>
    </row>
    <row r="21" spans="1:19" ht="16">
      <c r="A21" s="10" t="s">
        <v>44</v>
      </c>
      <c r="B21" s="33" t="s">
        <v>368</v>
      </c>
      <c r="C21" s="15">
        <v>1</v>
      </c>
      <c r="D21" s="10" t="s">
        <v>27</v>
      </c>
      <c r="E21" s="19" t="s">
        <v>379</v>
      </c>
      <c r="F21" s="10">
        <v>2.5</v>
      </c>
      <c r="G21" s="15" t="s">
        <v>15</v>
      </c>
      <c r="H21" s="15" t="s">
        <v>392</v>
      </c>
      <c r="I21" s="15">
        <v>1.2</v>
      </c>
      <c r="J21" s="10" t="s">
        <v>27</v>
      </c>
      <c r="K21" s="14" t="s">
        <v>379</v>
      </c>
      <c r="L21" s="15">
        <v>2</v>
      </c>
      <c r="M21" s="15" t="s">
        <v>16</v>
      </c>
      <c r="N21" s="58" t="s">
        <v>562</v>
      </c>
      <c r="O21" s="15">
        <v>0.22</v>
      </c>
      <c r="P21" s="9">
        <v>11</v>
      </c>
      <c r="Q21" s="1">
        <v>16</v>
      </c>
      <c r="R21" s="10">
        <v>100</v>
      </c>
      <c r="S21" s="15" t="s">
        <v>50</v>
      </c>
    </row>
    <row r="22" spans="1:19" ht="16">
      <c r="A22" s="10" t="s">
        <v>36</v>
      </c>
      <c r="B22" s="33" t="s">
        <v>367</v>
      </c>
      <c r="C22" s="15">
        <v>1</v>
      </c>
      <c r="D22" s="10" t="s">
        <v>14</v>
      </c>
      <c r="E22" s="10" t="s">
        <v>382</v>
      </c>
      <c r="F22" s="10">
        <v>1.5</v>
      </c>
      <c r="G22" s="15" t="s">
        <v>15</v>
      </c>
      <c r="H22" s="15" t="s">
        <v>392</v>
      </c>
      <c r="I22" s="15">
        <v>1.1000000000000001</v>
      </c>
      <c r="J22" s="10" t="s">
        <v>24</v>
      </c>
      <c r="K22" s="14" t="s">
        <v>380</v>
      </c>
      <c r="L22" s="15">
        <v>1.5</v>
      </c>
      <c r="M22" s="15" t="s">
        <v>22</v>
      </c>
      <c r="N22" s="58" t="s">
        <v>563</v>
      </c>
      <c r="O22" s="15">
        <v>0.4</v>
      </c>
      <c r="P22" s="9">
        <v>25</v>
      </c>
      <c r="Q22" s="1">
        <v>16</v>
      </c>
      <c r="R22" s="10">
        <v>100</v>
      </c>
      <c r="S22" s="15" t="s">
        <v>37</v>
      </c>
    </row>
    <row r="23" spans="1:19" ht="16">
      <c r="A23" s="10" t="s">
        <v>36</v>
      </c>
      <c r="B23" s="33" t="s">
        <v>367</v>
      </c>
      <c r="C23" s="15">
        <v>1</v>
      </c>
      <c r="D23" s="10" t="s">
        <v>14</v>
      </c>
      <c r="E23" s="10" t="s">
        <v>382</v>
      </c>
      <c r="F23" s="10">
        <v>1.2</v>
      </c>
      <c r="G23" s="15" t="s">
        <v>15</v>
      </c>
      <c r="H23" s="15" t="s">
        <v>392</v>
      </c>
      <c r="I23" s="15">
        <v>1.2</v>
      </c>
      <c r="J23" s="10" t="s">
        <v>51</v>
      </c>
      <c r="K23" s="15" t="s">
        <v>383</v>
      </c>
      <c r="L23" s="15">
        <v>2.2000000000000002</v>
      </c>
      <c r="M23" s="15" t="s">
        <v>40</v>
      </c>
      <c r="N23" s="14" t="s">
        <v>423</v>
      </c>
      <c r="O23" s="15">
        <v>0.5</v>
      </c>
      <c r="P23" s="9">
        <v>25</v>
      </c>
      <c r="Q23" s="1">
        <v>24</v>
      </c>
      <c r="R23" s="10">
        <v>90</v>
      </c>
      <c r="S23" s="15" t="s">
        <v>52</v>
      </c>
    </row>
    <row r="24" spans="1:19" ht="16">
      <c r="A24" s="10" t="s">
        <v>36</v>
      </c>
      <c r="B24" s="33" t="s">
        <v>367</v>
      </c>
      <c r="C24" s="15">
        <v>1</v>
      </c>
      <c r="D24" s="10" t="s">
        <v>14</v>
      </c>
      <c r="E24" s="10" t="s">
        <v>382</v>
      </c>
      <c r="F24" s="10">
        <v>1</v>
      </c>
      <c r="G24" s="15" t="s">
        <v>53</v>
      </c>
      <c r="H24" s="15" t="s">
        <v>401</v>
      </c>
      <c r="I24" s="15">
        <v>1</v>
      </c>
      <c r="J24" s="10" t="s">
        <v>51</v>
      </c>
      <c r="K24" s="15" t="s">
        <v>383</v>
      </c>
      <c r="L24" s="15">
        <v>1.1000000000000001</v>
      </c>
      <c r="M24" s="15" t="s">
        <v>40</v>
      </c>
      <c r="N24" s="14" t="s">
        <v>423</v>
      </c>
      <c r="O24" s="15">
        <v>0.2</v>
      </c>
      <c r="P24" s="9">
        <v>25</v>
      </c>
      <c r="Q24" s="1">
        <v>3</v>
      </c>
      <c r="R24" s="10">
        <v>95</v>
      </c>
      <c r="S24" s="15" t="s">
        <v>54</v>
      </c>
    </row>
    <row r="25" spans="1:19" ht="16">
      <c r="A25" s="10" t="s">
        <v>36</v>
      </c>
      <c r="B25" s="33" t="s">
        <v>367</v>
      </c>
      <c r="C25" s="15">
        <v>1</v>
      </c>
      <c r="D25" s="10" t="s">
        <v>55</v>
      </c>
      <c r="E25" s="10" t="s">
        <v>459</v>
      </c>
      <c r="F25" s="10">
        <v>1</v>
      </c>
      <c r="G25" s="15" t="s">
        <v>15</v>
      </c>
      <c r="H25" s="15" t="s">
        <v>392</v>
      </c>
      <c r="I25" s="15">
        <v>1.2</v>
      </c>
      <c r="J25" s="44" t="s">
        <v>196</v>
      </c>
      <c r="K25" s="14" t="s">
        <v>381</v>
      </c>
      <c r="L25" s="15">
        <v>1.2</v>
      </c>
      <c r="M25" s="15" t="s">
        <v>16</v>
      </c>
      <c r="N25" s="58" t="s">
        <v>562</v>
      </c>
      <c r="O25" s="15">
        <v>0.2</v>
      </c>
      <c r="P25" s="9">
        <v>25</v>
      </c>
      <c r="Q25" s="1">
        <v>16</v>
      </c>
      <c r="R25" s="10">
        <v>74</v>
      </c>
      <c r="S25" s="15" t="s">
        <v>56</v>
      </c>
    </row>
    <row r="26" spans="1:19" ht="16">
      <c r="A26" s="10" t="s">
        <v>57</v>
      </c>
      <c r="B26" s="33" t="s">
        <v>366</v>
      </c>
      <c r="C26" s="15">
        <v>1</v>
      </c>
      <c r="D26" s="10" t="s">
        <v>58</v>
      </c>
      <c r="E26" s="10" t="s">
        <v>458</v>
      </c>
      <c r="F26" s="10">
        <v>1.1000000000000001</v>
      </c>
      <c r="G26" s="15" t="s">
        <v>59</v>
      </c>
      <c r="H26" s="14" t="s">
        <v>390</v>
      </c>
      <c r="I26" s="15">
        <v>1.1000000000000001</v>
      </c>
      <c r="J26" s="10" t="s">
        <v>21</v>
      </c>
      <c r="K26" s="14" t="s">
        <v>380</v>
      </c>
      <c r="L26" s="15">
        <v>2.25</v>
      </c>
      <c r="M26" s="15" t="s">
        <v>22</v>
      </c>
      <c r="N26" s="58" t="s">
        <v>563</v>
      </c>
      <c r="O26" s="15">
        <v>0.3</v>
      </c>
      <c r="P26" s="9">
        <v>25</v>
      </c>
      <c r="Q26" s="1">
        <v>18</v>
      </c>
      <c r="R26" s="10">
        <v>80</v>
      </c>
      <c r="S26" s="15" t="s">
        <v>60</v>
      </c>
    </row>
    <row r="27" spans="1:19" ht="16">
      <c r="A27" s="10" t="s">
        <v>57</v>
      </c>
      <c r="B27" s="33" t="s">
        <v>366</v>
      </c>
      <c r="C27" s="15">
        <v>1</v>
      </c>
      <c r="D27" s="10" t="s">
        <v>58</v>
      </c>
      <c r="E27" s="10" t="s">
        <v>458</v>
      </c>
      <c r="F27" s="10">
        <v>1.5</v>
      </c>
      <c r="G27" s="15" t="s">
        <v>59</v>
      </c>
      <c r="H27" s="14" t="s">
        <v>390</v>
      </c>
      <c r="I27" s="15">
        <v>1.1000000000000001</v>
      </c>
      <c r="J27" s="10" t="s">
        <v>21</v>
      </c>
      <c r="K27" s="14" t="s">
        <v>380</v>
      </c>
      <c r="L27" s="15">
        <v>3</v>
      </c>
      <c r="M27" s="15" t="s">
        <v>22</v>
      </c>
      <c r="N27" s="58" t="s">
        <v>563</v>
      </c>
      <c r="O27" s="15">
        <v>0.3</v>
      </c>
      <c r="P27" s="9">
        <v>25</v>
      </c>
      <c r="Q27" s="1">
        <v>16</v>
      </c>
      <c r="R27" s="10">
        <v>88</v>
      </c>
      <c r="S27" s="15" t="s">
        <v>61</v>
      </c>
    </row>
    <row r="28" spans="1:19" ht="16">
      <c r="A28" s="10" t="s">
        <v>57</v>
      </c>
      <c r="B28" s="33" t="s">
        <v>366</v>
      </c>
      <c r="C28" s="15">
        <v>1</v>
      </c>
      <c r="D28" s="10" t="s">
        <v>58</v>
      </c>
      <c r="E28" s="10" t="s">
        <v>458</v>
      </c>
      <c r="F28" s="10">
        <v>1.5</v>
      </c>
      <c r="G28" s="15" t="s">
        <v>47</v>
      </c>
      <c r="H28" s="59" t="s">
        <v>561</v>
      </c>
      <c r="I28" s="15">
        <v>1.2</v>
      </c>
      <c r="J28" s="10" t="s">
        <v>21</v>
      </c>
      <c r="K28" s="14" t="s">
        <v>380</v>
      </c>
      <c r="L28" s="15">
        <v>2.5</v>
      </c>
      <c r="M28" s="15" t="s">
        <v>22</v>
      </c>
      <c r="N28" s="58" t="s">
        <v>563</v>
      </c>
      <c r="O28" s="15">
        <v>0.4</v>
      </c>
      <c r="P28" s="9">
        <v>25</v>
      </c>
      <c r="Q28" s="1">
        <v>18</v>
      </c>
      <c r="R28" s="10">
        <v>91</v>
      </c>
      <c r="S28" s="15" t="s">
        <v>62</v>
      </c>
    </row>
    <row r="29" spans="1:19" ht="16">
      <c r="A29" s="10" t="s">
        <v>57</v>
      </c>
      <c r="B29" s="33" t="s">
        <v>366</v>
      </c>
      <c r="C29" s="15">
        <v>1</v>
      </c>
      <c r="D29" s="10" t="s">
        <v>58</v>
      </c>
      <c r="E29" s="10" t="s">
        <v>458</v>
      </c>
      <c r="F29" s="10">
        <v>1.1000000000000001</v>
      </c>
      <c r="G29" s="15" t="s">
        <v>59</v>
      </c>
      <c r="H29" s="14" t="s">
        <v>390</v>
      </c>
      <c r="I29" s="15">
        <v>1.2</v>
      </c>
      <c r="J29" s="10" t="s">
        <v>21</v>
      </c>
      <c r="K29" s="14" t="s">
        <v>380</v>
      </c>
      <c r="L29" s="15">
        <v>2.25</v>
      </c>
      <c r="M29" s="15" t="s">
        <v>63</v>
      </c>
      <c r="N29" s="15" t="s">
        <v>564</v>
      </c>
      <c r="O29" s="15">
        <v>0.4</v>
      </c>
      <c r="P29" s="9">
        <v>25</v>
      </c>
      <c r="Q29" s="1">
        <v>15</v>
      </c>
      <c r="R29" s="10">
        <v>93</v>
      </c>
      <c r="S29" s="15" t="s">
        <v>64</v>
      </c>
    </row>
    <row r="30" spans="1:19" ht="16">
      <c r="A30" s="10" t="s">
        <v>57</v>
      </c>
      <c r="B30" s="33" t="s">
        <v>366</v>
      </c>
      <c r="C30" s="15">
        <v>1</v>
      </c>
      <c r="D30" s="10" t="s">
        <v>65</v>
      </c>
      <c r="E30" s="10" t="s">
        <v>460</v>
      </c>
      <c r="F30" s="10">
        <v>1.2</v>
      </c>
      <c r="G30" s="15" t="s">
        <v>59</v>
      </c>
      <c r="H30" s="14" t="s">
        <v>390</v>
      </c>
      <c r="I30" s="15">
        <v>2</v>
      </c>
      <c r="J30" s="10" t="s">
        <v>21</v>
      </c>
      <c r="K30" s="14" t="s">
        <v>380</v>
      </c>
      <c r="L30" s="15">
        <v>5</v>
      </c>
      <c r="M30" s="15" t="s">
        <v>22</v>
      </c>
      <c r="N30" s="58" t="s">
        <v>563</v>
      </c>
      <c r="O30" s="15">
        <v>0.5</v>
      </c>
      <c r="P30" s="9">
        <v>20</v>
      </c>
      <c r="Q30" s="1">
        <v>12</v>
      </c>
      <c r="R30" s="10">
        <v>92</v>
      </c>
      <c r="S30" s="15" t="s">
        <v>66</v>
      </c>
    </row>
    <row r="31" spans="1:19" ht="16">
      <c r="A31" s="10" t="s">
        <v>57</v>
      </c>
      <c r="B31" s="33" t="s">
        <v>366</v>
      </c>
      <c r="C31" s="15">
        <v>1</v>
      </c>
      <c r="D31" s="10" t="s">
        <v>67</v>
      </c>
      <c r="E31" s="10" t="s">
        <v>461</v>
      </c>
      <c r="F31" s="10">
        <v>1.18</v>
      </c>
      <c r="G31" s="15" t="s">
        <v>68</v>
      </c>
      <c r="H31" s="15" t="s">
        <v>397</v>
      </c>
      <c r="I31" s="15">
        <v>1.19</v>
      </c>
      <c r="J31" s="10" t="s">
        <v>69</v>
      </c>
      <c r="K31" s="15" t="s">
        <v>383</v>
      </c>
      <c r="L31" s="15">
        <v>3</v>
      </c>
      <c r="M31" s="15" t="s">
        <v>70</v>
      </c>
      <c r="N31" s="14" t="s">
        <v>565</v>
      </c>
      <c r="O31" s="15">
        <v>0.3</v>
      </c>
      <c r="P31" s="9">
        <v>25</v>
      </c>
      <c r="Q31" s="1">
        <v>24</v>
      </c>
      <c r="R31" s="10">
        <v>96</v>
      </c>
      <c r="S31" s="15" t="s">
        <v>71</v>
      </c>
    </row>
    <row r="32" spans="1:19" ht="16">
      <c r="A32" s="10" t="s">
        <v>57</v>
      </c>
      <c r="B32" s="33" t="s">
        <v>366</v>
      </c>
      <c r="C32" s="15">
        <v>1</v>
      </c>
      <c r="D32" s="10" t="s">
        <v>72</v>
      </c>
      <c r="E32" s="10" t="s">
        <v>386</v>
      </c>
      <c r="F32" s="10">
        <v>1</v>
      </c>
      <c r="G32" s="15" t="s">
        <v>59</v>
      </c>
      <c r="H32" s="14" t="s">
        <v>390</v>
      </c>
      <c r="I32" s="15">
        <v>1.1000000000000001</v>
      </c>
      <c r="J32" s="10" t="s">
        <v>69</v>
      </c>
      <c r="K32" s="15" t="s">
        <v>383</v>
      </c>
      <c r="L32" s="15">
        <v>2.2000000000000002</v>
      </c>
      <c r="M32" s="15" t="s">
        <v>16</v>
      </c>
      <c r="N32" s="58" t="s">
        <v>562</v>
      </c>
      <c r="O32" s="15">
        <v>0.55000000000000004</v>
      </c>
      <c r="P32" s="9">
        <v>25</v>
      </c>
      <c r="Q32" s="1">
        <v>18</v>
      </c>
      <c r="R32" s="10">
        <v>91</v>
      </c>
      <c r="S32" s="15" t="s">
        <v>73</v>
      </c>
    </row>
    <row r="33" spans="1:19" ht="16">
      <c r="A33" s="10" t="s">
        <v>57</v>
      </c>
      <c r="B33" s="33" t="s">
        <v>366</v>
      </c>
      <c r="C33" s="15">
        <v>1</v>
      </c>
      <c r="D33" s="10" t="s">
        <v>72</v>
      </c>
      <c r="E33" s="10" t="s">
        <v>386</v>
      </c>
      <c r="F33" s="10">
        <v>1.1000000000000001</v>
      </c>
      <c r="G33" s="15" t="s">
        <v>59</v>
      </c>
      <c r="H33" s="14" t="s">
        <v>390</v>
      </c>
      <c r="I33" s="15">
        <v>1.1000000000000001</v>
      </c>
      <c r="J33" s="10" t="s">
        <v>21</v>
      </c>
      <c r="K33" s="14" t="s">
        <v>380</v>
      </c>
      <c r="L33" s="15">
        <v>1</v>
      </c>
      <c r="M33" s="15" t="s">
        <v>22</v>
      </c>
      <c r="N33" s="58" t="s">
        <v>563</v>
      </c>
      <c r="O33" s="15">
        <v>0.6</v>
      </c>
      <c r="P33" s="9">
        <v>25</v>
      </c>
      <c r="Q33" s="1">
        <v>18</v>
      </c>
      <c r="R33" s="10">
        <v>90</v>
      </c>
      <c r="S33" s="15" t="s">
        <v>74</v>
      </c>
    </row>
    <row r="34" spans="1:19" ht="16">
      <c r="A34" s="10" t="s">
        <v>57</v>
      </c>
      <c r="B34" s="33" t="s">
        <v>366</v>
      </c>
      <c r="C34" s="15">
        <v>1</v>
      </c>
      <c r="D34" s="10" t="s">
        <v>72</v>
      </c>
      <c r="E34" s="10" t="s">
        <v>386</v>
      </c>
      <c r="F34" s="10">
        <v>1</v>
      </c>
      <c r="G34" s="15" t="s">
        <v>59</v>
      </c>
      <c r="H34" s="14" t="s">
        <v>390</v>
      </c>
      <c r="I34" s="15">
        <v>1.05</v>
      </c>
      <c r="J34" s="10" t="s">
        <v>69</v>
      </c>
      <c r="K34" s="15" t="s">
        <v>383</v>
      </c>
      <c r="L34" s="15">
        <v>2.71</v>
      </c>
      <c r="M34" s="15" t="s">
        <v>75</v>
      </c>
      <c r="N34" s="15" t="s">
        <v>424</v>
      </c>
      <c r="O34" s="15">
        <v>0.4</v>
      </c>
      <c r="P34" s="9">
        <v>25</v>
      </c>
      <c r="Q34" s="1">
        <v>18</v>
      </c>
      <c r="R34" s="10">
        <v>97</v>
      </c>
      <c r="S34" s="15" t="s">
        <v>76</v>
      </c>
    </row>
    <row r="35" spans="1:19" ht="16">
      <c r="A35" s="10" t="s">
        <v>57</v>
      </c>
      <c r="B35" s="33" t="s">
        <v>366</v>
      </c>
      <c r="C35" s="15">
        <v>1</v>
      </c>
      <c r="D35" s="10" t="s">
        <v>72</v>
      </c>
      <c r="E35" s="10" t="s">
        <v>386</v>
      </c>
      <c r="F35" s="10">
        <v>1</v>
      </c>
      <c r="G35" s="15" t="s">
        <v>77</v>
      </c>
      <c r="H35" s="14" t="s">
        <v>391</v>
      </c>
      <c r="I35" s="15">
        <v>1.05</v>
      </c>
      <c r="J35" s="10" t="s">
        <v>21</v>
      </c>
      <c r="K35" s="14" t="s">
        <v>380</v>
      </c>
      <c r="L35" s="15">
        <v>3.5</v>
      </c>
      <c r="M35" s="15" t="s">
        <v>22</v>
      </c>
      <c r="N35" s="58" t="s">
        <v>563</v>
      </c>
      <c r="O35" s="15">
        <v>0.3</v>
      </c>
      <c r="P35" s="9">
        <v>25</v>
      </c>
      <c r="Q35" s="1">
        <v>18</v>
      </c>
      <c r="R35" s="10">
        <v>100</v>
      </c>
      <c r="S35" s="15" t="s">
        <v>78</v>
      </c>
    </row>
    <row r="36" spans="1:19" ht="16">
      <c r="A36" s="10" t="s">
        <v>57</v>
      </c>
      <c r="B36" s="33" t="s">
        <v>366</v>
      </c>
      <c r="C36" s="15">
        <v>1</v>
      </c>
      <c r="D36" s="10" t="s">
        <v>72</v>
      </c>
      <c r="E36" s="10" t="s">
        <v>386</v>
      </c>
      <c r="F36" s="10">
        <v>1</v>
      </c>
      <c r="G36" s="15" t="s">
        <v>77</v>
      </c>
      <c r="H36" s="14" t="s">
        <v>391</v>
      </c>
      <c r="I36" s="15">
        <v>1.5</v>
      </c>
      <c r="J36" s="10" t="s">
        <v>21</v>
      </c>
      <c r="K36" s="14" t="s">
        <v>380</v>
      </c>
      <c r="L36" s="15">
        <v>5</v>
      </c>
      <c r="M36" s="15" t="s">
        <v>16</v>
      </c>
      <c r="N36" s="58" t="s">
        <v>562</v>
      </c>
      <c r="O36" s="15">
        <v>0.4</v>
      </c>
      <c r="P36" s="9">
        <v>25</v>
      </c>
      <c r="Q36" s="1">
        <v>16</v>
      </c>
      <c r="R36" s="10">
        <v>99</v>
      </c>
      <c r="S36" s="15" t="s">
        <v>79</v>
      </c>
    </row>
    <row r="37" spans="1:19" ht="16">
      <c r="A37" s="10" t="s">
        <v>57</v>
      </c>
      <c r="B37" s="33" t="s">
        <v>366</v>
      </c>
      <c r="C37" s="15">
        <v>1</v>
      </c>
      <c r="D37" s="10" t="s">
        <v>72</v>
      </c>
      <c r="E37" s="10" t="s">
        <v>386</v>
      </c>
      <c r="F37" s="10">
        <v>1</v>
      </c>
      <c r="G37" s="15" t="s">
        <v>77</v>
      </c>
      <c r="H37" s="14" t="s">
        <v>391</v>
      </c>
      <c r="I37" s="15">
        <v>1.5</v>
      </c>
      <c r="J37" s="10" t="s">
        <v>21</v>
      </c>
      <c r="K37" s="14" t="s">
        <v>380</v>
      </c>
      <c r="L37" s="15">
        <v>5</v>
      </c>
      <c r="M37" s="15" t="s">
        <v>16</v>
      </c>
      <c r="N37" s="58" t="s">
        <v>562</v>
      </c>
      <c r="O37" s="15">
        <v>0.7</v>
      </c>
      <c r="P37" s="9">
        <v>25</v>
      </c>
      <c r="Q37" s="1">
        <v>15</v>
      </c>
      <c r="R37" s="10">
        <v>99</v>
      </c>
      <c r="S37" s="15" t="s">
        <v>80</v>
      </c>
    </row>
    <row r="38" spans="1:19" ht="16">
      <c r="A38" s="10" t="s">
        <v>57</v>
      </c>
      <c r="B38" s="33" t="s">
        <v>366</v>
      </c>
      <c r="C38" s="15">
        <v>1</v>
      </c>
      <c r="D38" s="10" t="s">
        <v>72</v>
      </c>
      <c r="E38" s="10" t="s">
        <v>386</v>
      </c>
      <c r="F38" s="10">
        <v>1</v>
      </c>
      <c r="G38" s="15" t="s">
        <v>77</v>
      </c>
      <c r="H38" s="14" t="s">
        <v>391</v>
      </c>
      <c r="I38" s="15">
        <v>1.5</v>
      </c>
      <c r="J38" s="10" t="s">
        <v>72</v>
      </c>
      <c r="K38" s="15" t="s">
        <v>386</v>
      </c>
      <c r="L38" s="15">
        <v>1</v>
      </c>
      <c r="M38" s="15" t="s">
        <v>81</v>
      </c>
      <c r="N38" s="14" t="s">
        <v>562</v>
      </c>
      <c r="O38" s="15">
        <v>1.2</v>
      </c>
      <c r="P38" s="9">
        <v>25</v>
      </c>
      <c r="Q38" s="1">
        <v>16</v>
      </c>
      <c r="R38" s="10">
        <v>95</v>
      </c>
      <c r="S38" s="15" t="s">
        <v>82</v>
      </c>
    </row>
    <row r="39" spans="1:19" ht="16">
      <c r="A39" s="10" t="s">
        <v>57</v>
      </c>
      <c r="B39" s="33" t="s">
        <v>366</v>
      </c>
      <c r="C39" s="15">
        <v>1</v>
      </c>
      <c r="D39" s="10" t="s">
        <v>72</v>
      </c>
      <c r="E39" s="10" t="s">
        <v>386</v>
      </c>
      <c r="F39" s="10">
        <v>1</v>
      </c>
      <c r="G39" s="15" t="s">
        <v>77</v>
      </c>
      <c r="H39" s="14" t="s">
        <v>391</v>
      </c>
      <c r="I39" s="15">
        <v>1.05</v>
      </c>
      <c r="J39" s="10" t="s">
        <v>21</v>
      </c>
      <c r="K39" s="14" t="s">
        <v>380</v>
      </c>
      <c r="L39" s="15">
        <v>3</v>
      </c>
      <c r="M39" s="15" t="s">
        <v>22</v>
      </c>
      <c r="N39" s="58" t="s">
        <v>563</v>
      </c>
      <c r="O39" s="15">
        <v>0.5</v>
      </c>
      <c r="P39" s="9">
        <v>25</v>
      </c>
      <c r="Q39" s="1">
        <v>18</v>
      </c>
      <c r="R39" s="10">
        <v>85</v>
      </c>
      <c r="S39" s="15" t="s">
        <v>83</v>
      </c>
    </row>
    <row r="40" spans="1:19" ht="16">
      <c r="A40" s="10" t="s">
        <v>57</v>
      </c>
      <c r="B40" s="33" t="s">
        <v>366</v>
      </c>
      <c r="C40" s="15">
        <v>1</v>
      </c>
      <c r="D40" s="10" t="s">
        <v>72</v>
      </c>
      <c r="E40" s="10" t="s">
        <v>386</v>
      </c>
      <c r="F40" s="10">
        <v>1</v>
      </c>
      <c r="G40" s="15" t="s">
        <v>77</v>
      </c>
      <c r="H40" s="14" t="s">
        <v>391</v>
      </c>
      <c r="I40" s="15">
        <v>1.05</v>
      </c>
      <c r="J40" s="10" t="s">
        <v>21</v>
      </c>
      <c r="K40" s="14" t="s">
        <v>380</v>
      </c>
      <c r="L40" s="15">
        <v>3</v>
      </c>
      <c r="M40" s="15" t="s">
        <v>22</v>
      </c>
      <c r="N40" s="58" t="s">
        <v>563</v>
      </c>
      <c r="O40" s="15">
        <v>0.4</v>
      </c>
      <c r="P40" s="9">
        <v>25</v>
      </c>
      <c r="Q40" s="1">
        <v>18</v>
      </c>
      <c r="R40" s="10">
        <v>65</v>
      </c>
      <c r="S40" s="15" t="s">
        <v>84</v>
      </c>
    </row>
    <row r="41" spans="1:19" ht="16">
      <c r="A41" s="10" t="s">
        <v>57</v>
      </c>
      <c r="B41" s="33" t="s">
        <v>366</v>
      </c>
      <c r="C41" s="15">
        <v>1</v>
      </c>
      <c r="D41" s="10" t="s">
        <v>72</v>
      </c>
      <c r="E41" s="10" t="s">
        <v>386</v>
      </c>
      <c r="F41" s="10">
        <v>1</v>
      </c>
      <c r="G41" s="15" t="s">
        <v>77</v>
      </c>
      <c r="H41" s="14" t="s">
        <v>391</v>
      </c>
      <c r="I41" s="15">
        <v>1.5</v>
      </c>
      <c r="J41" s="10" t="s">
        <v>21</v>
      </c>
      <c r="K41" s="14" t="s">
        <v>380</v>
      </c>
      <c r="L41" s="15">
        <v>3</v>
      </c>
      <c r="M41" s="15" t="s">
        <v>22</v>
      </c>
      <c r="N41" s="58" t="s">
        <v>563</v>
      </c>
      <c r="O41" s="15">
        <v>0.4</v>
      </c>
      <c r="P41" s="9">
        <v>25</v>
      </c>
      <c r="Q41" s="1">
        <v>16</v>
      </c>
      <c r="R41" s="10">
        <v>80</v>
      </c>
      <c r="S41" s="15" t="s">
        <v>85</v>
      </c>
    </row>
    <row r="42" spans="1:19" ht="16">
      <c r="A42" s="10" t="s">
        <v>57</v>
      </c>
      <c r="B42" s="33" t="s">
        <v>366</v>
      </c>
      <c r="C42" s="15">
        <v>1</v>
      </c>
      <c r="D42" s="10" t="s">
        <v>72</v>
      </c>
      <c r="E42" s="10" t="s">
        <v>386</v>
      </c>
      <c r="F42" s="10">
        <v>1</v>
      </c>
      <c r="G42" s="15" t="s">
        <v>77</v>
      </c>
      <c r="H42" s="14" t="s">
        <v>391</v>
      </c>
      <c r="I42" s="15">
        <v>1.5</v>
      </c>
      <c r="J42" s="10" t="s">
        <v>21</v>
      </c>
      <c r="K42" s="14" t="s">
        <v>380</v>
      </c>
      <c r="L42" s="15">
        <v>5</v>
      </c>
      <c r="M42" s="15" t="s">
        <v>16</v>
      </c>
      <c r="N42" s="58" t="s">
        <v>562</v>
      </c>
      <c r="O42" s="15">
        <v>0.22</v>
      </c>
      <c r="P42" s="9">
        <v>25</v>
      </c>
      <c r="Q42" s="1">
        <v>15</v>
      </c>
      <c r="R42" s="10">
        <v>100</v>
      </c>
      <c r="S42" s="15" t="s">
        <v>86</v>
      </c>
    </row>
    <row r="43" spans="1:19" ht="16">
      <c r="A43" s="10" t="s">
        <v>57</v>
      </c>
      <c r="B43" s="33" t="s">
        <v>366</v>
      </c>
      <c r="C43" s="15">
        <v>1</v>
      </c>
      <c r="D43" s="10" t="s">
        <v>72</v>
      </c>
      <c r="E43" s="10" t="s">
        <v>386</v>
      </c>
      <c r="F43" s="10">
        <v>1</v>
      </c>
      <c r="G43" s="15" t="s">
        <v>77</v>
      </c>
      <c r="H43" s="14" t="s">
        <v>391</v>
      </c>
      <c r="I43" s="15">
        <v>1.05</v>
      </c>
      <c r="J43" s="10" t="s">
        <v>21</v>
      </c>
      <c r="K43" s="14" t="s">
        <v>380</v>
      </c>
      <c r="L43" s="15">
        <v>3</v>
      </c>
      <c r="M43" s="15" t="s">
        <v>16</v>
      </c>
      <c r="N43" s="58" t="s">
        <v>562</v>
      </c>
      <c r="O43" s="15">
        <v>0.5</v>
      </c>
      <c r="P43" s="9">
        <v>25</v>
      </c>
      <c r="Q43" s="1">
        <v>18</v>
      </c>
      <c r="R43" s="10">
        <v>70</v>
      </c>
      <c r="S43" s="15" t="s">
        <v>87</v>
      </c>
    </row>
    <row r="44" spans="1:19" ht="16">
      <c r="A44" s="10" t="s">
        <v>57</v>
      </c>
      <c r="B44" s="33" t="s">
        <v>366</v>
      </c>
      <c r="C44" s="15">
        <v>1</v>
      </c>
      <c r="D44" s="10" t="s">
        <v>88</v>
      </c>
      <c r="E44" s="10" t="s">
        <v>462</v>
      </c>
      <c r="F44" s="10">
        <v>1</v>
      </c>
      <c r="G44" s="15" t="s">
        <v>77</v>
      </c>
      <c r="H44" s="14" t="s">
        <v>391</v>
      </c>
      <c r="I44" s="15">
        <v>1.05</v>
      </c>
      <c r="J44" s="10" t="s">
        <v>21</v>
      </c>
      <c r="K44" s="14" t="s">
        <v>380</v>
      </c>
      <c r="L44" s="15">
        <v>3</v>
      </c>
      <c r="M44" s="15" t="s">
        <v>16</v>
      </c>
      <c r="N44" s="58" t="s">
        <v>562</v>
      </c>
      <c r="O44" s="15">
        <v>0.3</v>
      </c>
      <c r="P44" s="9">
        <v>25</v>
      </c>
      <c r="Q44" s="1">
        <v>16</v>
      </c>
      <c r="R44" s="10">
        <v>70</v>
      </c>
      <c r="S44" s="15" t="s">
        <v>89</v>
      </c>
    </row>
    <row r="45" spans="1:19" ht="16">
      <c r="A45" s="10" t="s">
        <v>57</v>
      </c>
      <c r="B45" s="33" t="s">
        <v>366</v>
      </c>
      <c r="C45" s="15">
        <v>1</v>
      </c>
      <c r="D45" s="10" t="s">
        <v>90</v>
      </c>
      <c r="E45" s="10" t="s">
        <v>462</v>
      </c>
      <c r="F45" s="10">
        <v>1</v>
      </c>
      <c r="G45" s="15" t="s">
        <v>77</v>
      </c>
      <c r="H45" s="14" t="s">
        <v>391</v>
      </c>
      <c r="I45" s="15">
        <v>1.25</v>
      </c>
      <c r="J45" s="10" t="s">
        <v>21</v>
      </c>
      <c r="K45" s="14" t="s">
        <v>380</v>
      </c>
      <c r="L45" s="15">
        <v>2</v>
      </c>
      <c r="M45" s="15" t="s">
        <v>91</v>
      </c>
      <c r="N45" s="58" t="s">
        <v>562</v>
      </c>
      <c r="O45" s="15">
        <v>0.4</v>
      </c>
      <c r="P45" s="9">
        <v>25</v>
      </c>
      <c r="Q45" s="1">
        <v>4</v>
      </c>
      <c r="R45" s="10">
        <v>90</v>
      </c>
      <c r="S45" s="15" t="s">
        <v>92</v>
      </c>
    </row>
    <row r="46" spans="1:19" ht="16">
      <c r="A46" s="10" t="s">
        <v>57</v>
      </c>
      <c r="B46" s="33" t="s">
        <v>366</v>
      </c>
      <c r="C46" s="15">
        <v>1</v>
      </c>
      <c r="D46" s="10" t="s">
        <v>90</v>
      </c>
      <c r="E46" s="10" t="s">
        <v>462</v>
      </c>
      <c r="F46" s="10">
        <v>1</v>
      </c>
      <c r="G46" s="15" t="s">
        <v>47</v>
      </c>
      <c r="H46" s="60" t="s">
        <v>561</v>
      </c>
      <c r="I46" s="15">
        <v>0.9</v>
      </c>
      <c r="J46" s="10" t="s">
        <v>21</v>
      </c>
      <c r="K46" s="14" t="s">
        <v>380</v>
      </c>
      <c r="L46" s="15">
        <v>3.6</v>
      </c>
      <c r="M46" s="15" t="s">
        <v>16</v>
      </c>
      <c r="N46" s="58" t="s">
        <v>562</v>
      </c>
      <c r="O46" s="15">
        <v>0.2</v>
      </c>
      <c r="P46" s="9">
        <v>25</v>
      </c>
      <c r="Q46" s="1">
        <v>15</v>
      </c>
      <c r="R46" s="10">
        <v>96</v>
      </c>
      <c r="S46" s="15" t="s">
        <v>93</v>
      </c>
    </row>
    <row r="47" spans="1:19" ht="16">
      <c r="A47" s="10" t="s">
        <v>57</v>
      </c>
      <c r="B47" s="33" t="s">
        <v>366</v>
      </c>
      <c r="C47" s="15">
        <v>1</v>
      </c>
      <c r="D47" s="10" t="s">
        <v>90</v>
      </c>
      <c r="E47" s="10" t="s">
        <v>462</v>
      </c>
      <c r="F47" s="10">
        <v>1</v>
      </c>
      <c r="G47" s="15" t="s">
        <v>77</v>
      </c>
      <c r="H47" s="14" t="s">
        <v>391</v>
      </c>
      <c r="I47" s="15">
        <v>1.5</v>
      </c>
      <c r="J47" s="10" t="s">
        <v>21</v>
      </c>
      <c r="K47" s="14" t="s">
        <v>380</v>
      </c>
      <c r="L47" s="15">
        <v>5</v>
      </c>
      <c r="M47" s="15" t="s">
        <v>16</v>
      </c>
      <c r="N47" s="58" t="s">
        <v>562</v>
      </c>
      <c r="O47" s="15">
        <v>0.3</v>
      </c>
      <c r="P47" s="9">
        <v>25</v>
      </c>
      <c r="Q47" s="1">
        <v>15</v>
      </c>
      <c r="R47" s="10">
        <v>99</v>
      </c>
      <c r="S47" s="15" t="s">
        <v>94</v>
      </c>
    </row>
    <row r="48" spans="1:19" ht="16">
      <c r="A48" s="26" t="s">
        <v>57</v>
      </c>
      <c r="B48" s="33" t="s">
        <v>366</v>
      </c>
      <c r="C48" s="15">
        <v>1</v>
      </c>
      <c r="D48" s="10" t="s">
        <v>95</v>
      </c>
      <c r="E48" s="10" t="s">
        <v>463</v>
      </c>
      <c r="F48" s="10">
        <v>1</v>
      </c>
      <c r="G48" s="15" t="s">
        <v>77</v>
      </c>
      <c r="H48" s="14" t="s">
        <v>391</v>
      </c>
      <c r="I48" s="15">
        <v>1.25</v>
      </c>
      <c r="J48" s="10" t="s">
        <v>21</v>
      </c>
      <c r="K48" s="14" t="s">
        <v>380</v>
      </c>
      <c r="L48" s="15">
        <v>2</v>
      </c>
      <c r="M48" s="15" t="s">
        <v>91</v>
      </c>
      <c r="N48" s="58" t="s">
        <v>562</v>
      </c>
      <c r="O48" s="15">
        <v>0.4</v>
      </c>
      <c r="P48" s="9">
        <v>25</v>
      </c>
      <c r="Q48" s="1">
        <v>4</v>
      </c>
      <c r="R48" s="10">
        <v>91</v>
      </c>
      <c r="S48" s="15" t="s">
        <v>96</v>
      </c>
    </row>
    <row r="49" spans="1:19" ht="16">
      <c r="A49" s="26" t="s">
        <v>57</v>
      </c>
      <c r="B49" s="33" t="s">
        <v>366</v>
      </c>
      <c r="C49" s="15">
        <v>1</v>
      </c>
      <c r="D49" s="10" t="s">
        <v>97</v>
      </c>
      <c r="E49" s="19" t="s">
        <v>379</v>
      </c>
      <c r="F49" s="10">
        <v>1.6</v>
      </c>
      <c r="G49" s="15" t="s">
        <v>98</v>
      </c>
      <c r="H49" s="14" t="s">
        <v>392</v>
      </c>
      <c r="I49" s="15">
        <v>1.1000000000000001</v>
      </c>
      <c r="J49" s="10" t="s">
        <v>24</v>
      </c>
      <c r="K49" s="14" t="s">
        <v>380</v>
      </c>
      <c r="L49" s="15">
        <v>1.4</v>
      </c>
      <c r="M49" s="15" t="s">
        <v>22</v>
      </c>
      <c r="N49" s="58" t="s">
        <v>563</v>
      </c>
      <c r="O49" s="15">
        <v>0.24</v>
      </c>
      <c r="P49" s="9">
        <v>25</v>
      </c>
      <c r="Q49" s="1">
        <v>16</v>
      </c>
      <c r="R49" s="10">
        <v>83</v>
      </c>
      <c r="S49" s="15" t="s">
        <v>99</v>
      </c>
    </row>
    <row r="50" spans="1:19" ht="16">
      <c r="A50" s="26" t="s">
        <v>57</v>
      </c>
      <c r="B50" s="33" t="s">
        <v>366</v>
      </c>
      <c r="C50" s="15">
        <v>1</v>
      </c>
      <c r="D50" s="10" t="s">
        <v>97</v>
      </c>
      <c r="E50" s="19" t="s">
        <v>379</v>
      </c>
      <c r="F50" s="10">
        <v>1.3</v>
      </c>
      <c r="G50" s="15" t="s">
        <v>68</v>
      </c>
      <c r="H50" s="15" t="s">
        <v>397</v>
      </c>
      <c r="I50" s="15">
        <v>1.2</v>
      </c>
      <c r="J50" s="44" t="s">
        <v>196</v>
      </c>
      <c r="K50" s="14" t="s">
        <v>381</v>
      </c>
      <c r="L50" s="15">
        <v>2</v>
      </c>
      <c r="M50" s="15" t="s">
        <v>40</v>
      </c>
      <c r="N50" s="14" t="s">
        <v>423</v>
      </c>
      <c r="O50" s="15">
        <v>0.6</v>
      </c>
      <c r="P50" s="9">
        <v>25</v>
      </c>
      <c r="Q50" s="1">
        <v>8</v>
      </c>
      <c r="R50" s="10">
        <v>81</v>
      </c>
      <c r="S50" s="15" t="s">
        <v>100</v>
      </c>
    </row>
    <row r="51" spans="1:19" ht="16">
      <c r="A51" s="26" t="s">
        <v>57</v>
      </c>
      <c r="B51" s="33" t="s">
        <v>366</v>
      </c>
      <c r="C51" s="15">
        <v>1</v>
      </c>
      <c r="D51" s="10" t="s">
        <v>97</v>
      </c>
      <c r="E51" s="19" t="s">
        <v>379</v>
      </c>
      <c r="F51" s="10">
        <v>1.2</v>
      </c>
      <c r="G51" s="15" t="s">
        <v>47</v>
      </c>
      <c r="H51" s="60" t="s">
        <v>561</v>
      </c>
      <c r="I51" s="15">
        <v>1.3</v>
      </c>
      <c r="J51" s="10" t="s">
        <v>24</v>
      </c>
      <c r="K51" s="14" t="s">
        <v>380</v>
      </c>
      <c r="L51" s="15">
        <v>3.2</v>
      </c>
      <c r="M51" s="15" t="s">
        <v>16</v>
      </c>
      <c r="N51" s="58" t="s">
        <v>562</v>
      </c>
      <c r="O51" s="15">
        <v>0.27</v>
      </c>
      <c r="P51" s="9">
        <v>25</v>
      </c>
      <c r="Q51" s="1">
        <v>18</v>
      </c>
      <c r="R51" s="10">
        <v>91</v>
      </c>
      <c r="S51" s="15" t="s">
        <v>101</v>
      </c>
    </row>
    <row r="52" spans="1:19" ht="16">
      <c r="A52" s="26" t="s">
        <v>57</v>
      </c>
      <c r="B52" s="33" t="s">
        <v>366</v>
      </c>
      <c r="C52" s="15">
        <v>1</v>
      </c>
      <c r="D52" s="10" t="s">
        <v>97</v>
      </c>
      <c r="E52" s="19" t="s">
        <v>379</v>
      </c>
      <c r="F52" s="10">
        <v>1.2</v>
      </c>
      <c r="G52" s="15" t="s">
        <v>102</v>
      </c>
      <c r="H52" s="15" t="s">
        <v>399</v>
      </c>
      <c r="I52" s="15">
        <v>1</v>
      </c>
      <c r="J52" s="10" t="s">
        <v>51</v>
      </c>
      <c r="K52" s="57" t="s">
        <v>383</v>
      </c>
      <c r="L52" s="15">
        <v>1.2</v>
      </c>
      <c r="M52" s="15" t="s">
        <v>22</v>
      </c>
      <c r="N52" s="58" t="s">
        <v>563</v>
      </c>
      <c r="O52" s="15">
        <v>0.43</v>
      </c>
      <c r="P52" s="9">
        <v>25</v>
      </c>
      <c r="Q52" s="1">
        <v>16</v>
      </c>
      <c r="R52" s="10">
        <v>74</v>
      </c>
      <c r="S52" s="15" t="s">
        <v>103</v>
      </c>
    </row>
    <row r="53" spans="1:19" ht="16">
      <c r="A53" s="26" t="s">
        <v>57</v>
      </c>
      <c r="B53" s="33" t="s">
        <v>366</v>
      </c>
      <c r="C53" s="15">
        <v>1</v>
      </c>
      <c r="D53" s="10" t="s">
        <v>97</v>
      </c>
      <c r="E53" s="19" t="s">
        <v>379</v>
      </c>
      <c r="F53" s="10">
        <v>1.2</v>
      </c>
      <c r="G53" s="15" t="s">
        <v>38</v>
      </c>
      <c r="H53" s="15" t="s">
        <v>398</v>
      </c>
      <c r="I53" s="15">
        <v>1.2</v>
      </c>
      <c r="J53" s="10" t="s">
        <v>97</v>
      </c>
      <c r="K53" s="14" t="s">
        <v>379</v>
      </c>
      <c r="L53" s="15">
        <v>1</v>
      </c>
      <c r="M53" s="15" t="s">
        <v>16</v>
      </c>
      <c r="N53" s="58" t="s">
        <v>562</v>
      </c>
      <c r="O53" s="15">
        <v>0.2</v>
      </c>
      <c r="P53" s="9">
        <v>25</v>
      </c>
      <c r="Q53" s="1">
        <v>5</v>
      </c>
      <c r="R53" s="10">
        <v>85</v>
      </c>
      <c r="S53" s="15" t="s">
        <v>104</v>
      </c>
    </row>
    <row r="54" spans="1:19" ht="16">
      <c r="A54" s="10" t="s">
        <v>36</v>
      </c>
      <c r="B54" s="33" t="s">
        <v>367</v>
      </c>
      <c r="C54" s="15">
        <v>1</v>
      </c>
      <c r="D54" s="10" t="s">
        <v>97</v>
      </c>
      <c r="E54" s="19" t="s">
        <v>379</v>
      </c>
      <c r="F54" s="10">
        <v>2</v>
      </c>
      <c r="G54" s="15" t="s">
        <v>105</v>
      </c>
      <c r="H54" s="14" t="s">
        <v>393</v>
      </c>
      <c r="I54" s="15">
        <v>1</v>
      </c>
      <c r="J54" s="10" t="s">
        <v>97</v>
      </c>
      <c r="K54" s="14" t="s">
        <v>379</v>
      </c>
      <c r="L54" s="15">
        <v>1</v>
      </c>
      <c r="M54" s="15" t="s">
        <v>48</v>
      </c>
      <c r="N54" s="15" t="s">
        <v>425</v>
      </c>
      <c r="O54" s="15">
        <v>0.53</v>
      </c>
      <c r="P54" s="9">
        <v>-20</v>
      </c>
      <c r="Q54" s="1">
        <v>16</v>
      </c>
      <c r="R54" s="10">
        <v>72</v>
      </c>
      <c r="S54" s="15" t="s">
        <v>106</v>
      </c>
    </row>
    <row r="55" spans="1:19" ht="16">
      <c r="A55" s="10" t="s">
        <v>36</v>
      </c>
      <c r="B55" s="33" t="s">
        <v>367</v>
      </c>
      <c r="C55" s="15">
        <v>1</v>
      </c>
      <c r="D55" s="10" t="s">
        <v>97</v>
      </c>
      <c r="E55" s="19" t="s">
        <v>379</v>
      </c>
      <c r="F55" s="10">
        <v>1.2</v>
      </c>
      <c r="G55" s="15" t="s">
        <v>105</v>
      </c>
      <c r="H55" s="14" t="s">
        <v>393</v>
      </c>
      <c r="I55" s="15">
        <v>1.2</v>
      </c>
      <c r="J55" s="10" t="s">
        <v>97</v>
      </c>
      <c r="K55" s="14" t="s">
        <v>379</v>
      </c>
      <c r="L55" s="15">
        <v>1</v>
      </c>
      <c r="M55" s="15" t="s">
        <v>22</v>
      </c>
      <c r="N55" s="58" t="s">
        <v>563</v>
      </c>
      <c r="O55" s="15">
        <v>0.19</v>
      </c>
      <c r="P55" s="9">
        <v>25</v>
      </c>
      <c r="Q55" s="1">
        <v>16</v>
      </c>
      <c r="R55" s="10">
        <v>71</v>
      </c>
      <c r="S55" s="15" t="s">
        <v>107</v>
      </c>
    </row>
    <row r="56" spans="1:19" ht="16">
      <c r="A56" s="10" t="s">
        <v>36</v>
      </c>
      <c r="B56" s="33" t="s">
        <v>367</v>
      </c>
      <c r="C56" s="15">
        <v>1</v>
      </c>
      <c r="D56" s="10" t="s">
        <v>97</v>
      </c>
      <c r="E56" s="19" t="s">
        <v>379</v>
      </c>
      <c r="F56" s="10">
        <v>1</v>
      </c>
      <c r="G56" s="15" t="s">
        <v>77</v>
      </c>
      <c r="H56" s="14" t="s">
        <v>391</v>
      </c>
      <c r="I56" s="15">
        <v>1</v>
      </c>
      <c r="J56" s="10" t="s">
        <v>24</v>
      </c>
      <c r="K56" s="14" t="s">
        <v>380</v>
      </c>
      <c r="L56" s="15">
        <v>1</v>
      </c>
      <c r="M56" s="15" t="s">
        <v>22</v>
      </c>
      <c r="N56" s="58" t="s">
        <v>563</v>
      </c>
      <c r="O56" s="15">
        <v>0.56999999999999995</v>
      </c>
      <c r="P56" s="9">
        <v>25</v>
      </c>
      <c r="Q56" s="1">
        <v>12</v>
      </c>
      <c r="R56" s="10">
        <v>61</v>
      </c>
      <c r="S56" s="15" t="s">
        <v>108</v>
      </c>
    </row>
    <row r="57" spans="1:19" ht="16">
      <c r="A57" s="10" t="s">
        <v>36</v>
      </c>
      <c r="B57" s="33" t="s">
        <v>367</v>
      </c>
      <c r="C57" s="15">
        <v>1.2</v>
      </c>
      <c r="D57" s="10" t="s">
        <v>97</v>
      </c>
      <c r="E57" s="19" t="s">
        <v>379</v>
      </c>
      <c r="F57" s="10">
        <v>1</v>
      </c>
      <c r="G57" s="15" t="s">
        <v>109</v>
      </c>
      <c r="H57" s="15" t="s">
        <v>400</v>
      </c>
      <c r="I57" s="15">
        <v>1.1000000000000001</v>
      </c>
      <c r="J57" s="44" t="s">
        <v>196</v>
      </c>
      <c r="K57" s="14" t="s">
        <v>381</v>
      </c>
      <c r="L57" s="15">
        <v>1.1000000000000001</v>
      </c>
      <c r="M57" s="15" t="s">
        <v>110</v>
      </c>
      <c r="N57" s="15" t="s">
        <v>426</v>
      </c>
      <c r="O57" s="15">
        <v>0.4</v>
      </c>
      <c r="P57" s="9">
        <v>70</v>
      </c>
      <c r="Q57" s="1">
        <v>6</v>
      </c>
      <c r="R57" s="10">
        <v>76</v>
      </c>
      <c r="S57" s="15" t="s">
        <v>111</v>
      </c>
    </row>
    <row r="58" spans="1:19" ht="16">
      <c r="A58" s="10" t="s">
        <v>36</v>
      </c>
      <c r="B58" s="33" t="s">
        <v>367</v>
      </c>
      <c r="C58" s="15">
        <v>1</v>
      </c>
      <c r="D58" s="10" t="s">
        <v>97</v>
      </c>
      <c r="E58" s="19" t="s">
        <v>379</v>
      </c>
      <c r="F58" s="10">
        <v>1</v>
      </c>
      <c r="G58" s="15" t="s">
        <v>112</v>
      </c>
      <c r="H58" s="15" t="s">
        <v>396</v>
      </c>
      <c r="I58" s="15">
        <v>1.1000000000000001</v>
      </c>
      <c r="J58" s="44" t="s">
        <v>196</v>
      </c>
      <c r="K58" s="14" t="s">
        <v>381</v>
      </c>
      <c r="L58" s="15">
        <v>5</v>
      </c>
      <c r="M58" s="15" t="s">
        <v>22</v>
      </c>
      <c r="N58" s="58" t="s">
        <v>563</v>
      </c>
      <c r="O58" s="15">
        <v>0.22</v>
      </c>
      <c r="P58" s="9">
        <v>25</v>
      </c>
      <c r="Q58" s="1">
        <v>16</v>
      </c>
      <c r="R58" s="10">
        <v>59</v>
      </c>
      <c r="S58" s="15" t="s">
        <v>113</v>
      </c>
    </row>
    <row r="59" spans="1:19" ht="16">
      <c r="A59" s="10" t="s">
        <v>36</v>
      </c>
      <c r="B59" s="33" t="s">
        <v>367</v>
      </c>
      <c r="C59" s="15">
        <v>1</v>
      </c>
      <c r="D59" s="10" t="s">
        <v>97</v>
      </c>
      <c r="E59" s="19" t="s">
        <v>379</v>
      </c>
      <c r="F59" s="10">
        <v>1</v>
      </c>
      <c r="G59" s="15" t="s">
        <v>98</v>
      </c>
      <c r="H59" s="15" t="s">
        <v>392</v>
      </c>
      <c r="I59" s="15">
        <v>1.1000000000000001</v>
      </c>
      <c r="J59" s="10" t="s">
        <v>24</v>
      </c>
      <c r="K59" s="14" t="s">
        <v>380</v>
      </c>
      <c r="L59" s="15">
        <v>2.5</v>
      </c>
      <c r="M59" s="15" t="s">
        <v>16</v>
      </c>
      <c r="N59" s="58" t="s">
        <v>562</v>
      </c>
      <c r="O59" s="15">
        <v>0.5</v>
      </c>
      <c r="P59" s="9">
        <v>25</v>
      </c>
      <c r="Q59" s="1">
        <v>24</v>
      </c>
      <c r="R59" s="10">
        <v>80</v>
      </c>
      <c r="S59" s="15" t="s">
        <v>114</v>
      </c>
    </row>
    <row r="60" spans="1:19" ht="16">
      <c r="A60" s="10" t="s">
        <v>36</v>
      </c>
      <c r="B60" s="33" t="s">
        <v>367</v>
      </c>
      <c r="C60" s="15">
        <v>1</v>
      </c>
      <c r="D60" s="10" t="s">
        <v>97</v>
      </c>
      <c r="E60" s="19" t="s">
        <v>379</v>
      </c>
      <c r="F60" s="10">
        <v>1.1000000000000001</v>
      </c>
      <c r="G60" s="15" t="s">
        <v>98</v>
      </c>
      <c r="H60" s="15" t="s">
        <v>392</v>
      </c>
      <c r="I60" s="15">
        <v>1.2</v>
      </c>
      <c r="J60" s="10" t="s">
        <v>24</v>
      </c>
      <c r="K60" s="14" t="s">
        <v>380</v>
      </c>
      <c r="L60" s="15">
        <v>5</v>
      </c>
      <c r="M60" s="15" t="s">
        <v>16</v>
      </c>
      <c r="N60" s="58" t="s">
        <v>562</v>
      </c>
      <c r="O60" s="15">
        <v>0.15</v>
      </c>
      <c r="P60" s="9">
        <v>25</v>
      </c>
      <c r="Q60" s="1">
        <v>18</v>
      </c>
      <c r="R60" s="10">
        <v>80</v>
      </c>
      <c r="S60" s="15" t="s">
        <v>115</v>
      </c>
    </row>
    <row r="61" spans="1:19" ht="16">
      <c r="A61" s="10" t="s">
        <v>36</v>
      </c>
      <c r="B61" s="33" t="s">
        <v>367</v>
      </c>
      <c r="C61" s="15">
        <v>1</v>
      </c>
      <c r="D61" s="10" t="s">
        <v>97</v>
      </c>
      <c r="E61" s="19" t="s">
        <v>379</v>
      </c>
      <c r="F61" s="10">
        <v>1</v>
      </c>
      <c r="G61" s="15" t="s">
        <v>112</v>
      </c>
      <c r="H61" s="15" t="s">
        <v>396</v>
      </c>
      <c r="I61" s="15">
        <v>1.5</v>
      </c>
      <c r="J61" s="10" t="s">
        <v>51</v>
      </c>
      <c r="K61" s="15" t="s">
        <v>383</v>
      </c>
      <c r="L61" s="15">
        <v>2</v>
      </c>
      <c r="M61" s="15" t="s">
        <v>16</v>
      </c>
      <c r="N61" s="58" t="s">
        <v>562</v>
      </c>
      <c r="O61" s="15">
        <v>0.23</v>
      </c>
      <c r="P61" s="9">
        <v>25</v>
      </c>
      <c r="Q61" s="1">
        <v>16</v>
      </c>
      <c r="R61" s="10">
        <v>89</v>
      </c>
      <c r="S61" s="15" t="s">
        <v>116</v>
      </c>
    </row>
    <row r="62" spans="1:19" ht="16">
      <c r="A62" s="10" t="s">
        <v>36</v>
      </c>
      <c r="B62" s="33" t="s">
        <v>367</v>
      </c>
      <c r="C62" s="15">
        <v>1.1000000000000001</v>
      </c>
      <c r="D62" s="10" t="s">
        <v>97</v>
      </c>
      <c r="E62" s="19" t="s">
        <v>379</v>
      </c>
      <c r="F62" s="10">
        <v>1</v>
      </c>
      <c r="G62" s="15" t="s">
        <v>77</v>
      </c>
      <c r="H62" s="14" t="s">
        <v>391</v>
      </c>
      <c r="I62" s="15">
        <v>1.2</v>
      </c>
      <c r="J62" s="44" t="s">
        <v>196</v>
      </c>
      <c r="K62" s="14" t="s">
        <v>381</v>
      </c>
      <c r="L62" s="15">
        <v>1.3</v>
      </c>
      <c r="M62" s="15" t="s">
        <v>22</v>
      </c>
      <c r="N62" s="58" t="s">
        <v>563</v>
      </c>
      <c r="O62" s="15">
        <v>0.1</v>
      </c>
      <c r="P62" s="9">
        <v>25</v>
      </c>
      <c r="Q62" s="1">
        <v>16</v>
      </c>
      <c r="R62" s="10">
        <v>80</v>
      </c>
      <c r="S62" s="15" t="s">
        <v>117</v>
      </c>
    </row>
    <row r="63" spans="1:19" ht="16">
      <c r="A63" s="10" t="s">
        <v>36</v>
      </c>
      <c r="B63" s="33" t="s">
        <v>367</v>
      </c>
      <c r="C63" s="15">
        <v>1</v>
      </c>
      <c r="D63" s="10" t="s">
        <v>97</v>
      </c>
      <c r="E63" s="19" t="s">
        <v>379</v>
      </c>
      <c r="F63" s="10">
        <v>1</v>
      </c>
      <c r="G63" s="15" t="s">
        <v>77</v>
      </c>
      <c r="H63" s="14" t="s">
        <v>391</v>
      </c>
      <c r="I63" s="15">
        <v>1</v>
      </c>
      <c r="J63" s="10" t="s">
        <v>24</v>
      </c>
      <c r="K63" s="14" t="s">
        <v>380</v>
      </c>
      <c r="L63" s="15">
        <v>2</v>
      </c>
      <c r="M63" s="15" t="s">
        <v>22</v>
      </c>
      <c r="N63" s="58" t="s">
        <v>563</v>
      </c>
      <c r="O63" s="15">
        <v>0.15</v>
      </c>
      <c r="P63" s="9">
        <v>25</v>
      </c>
      <c r="Q63" s="1">
        <v>3</v>
      </c>
      <c r="R63" s="10">
        <v>86</v>
      </c>
      <c r="S63" s="15" t="s">
        <v>118</v>
      </c>
    </row>
    <row r="64" spans="1:19" ht="16">
      <c r="A64" s="10" t="s">
        <v>119</v>
      </c>
      <c r="B64" s="15" t="s">
        <v>369</v>
      </c>
      <c r="C64" s="15">
        <v>1</v>
      </c>
      <c r="D64" s="10" t="s">
        <v>120</v>
      </c>
      <c r="E64" s="10" t="s">
        <v>457</v>
      </c>
      <c r="F64" s="10">
        <v>1</v>
      </c>
      <c r="G64" s="15" t="s">
        <v>439</v>
      </c>
      <c r="H64" s="15" t="s">
        <v>403</v>
      </c>
      <c r="I64" s="15">
        <v>1</v>
      </c>
      <c r="J64" s="10" t="s">
        <v>121</v>
      </c>
      <c r="K64" s="15" t="s">
        <v>121</v>
      </c>
      <c r="L64" s="15">
        <v>0</v>
      </c>
      <c r="M64" s="17" t="s">
        <v>48</v>
      </c>
      <c r="N64" s="15" t="s">
        <v>425</v>
      </c>
      <c r="O64" s="15">
        <v>0</v>
      </c>
      <c r="P64" s="9">
        <v>0</v>
      </c>
      <c r="Q64" s="1">
        <f>15/60</f>
        <v>0.25</v>
      </c>
      <c r="R64" s="10">
        <v>99</v>
      </c>
      <c r="S64" s="15" t="s">
        <v>122</v>
      </c>
    </row>
    <row r="65" spans="1:19" ht="16">
      <c r="A65" s="10" t="s">
        <v>119</v>
      </c>
      <c r="B65" s="15" t="s">
        <v>369</v>
      </c>
      <c r="C65" s="15">
        <v>1</v>
      </c>
      <c r="D65" s="10" t="s">
        <v>120</v>
      </c>
      <c r="E65" s="10" t="s">
        <v>457</v>
      </c>
      <c r="F65" s="10">
        <v>1</v>
      </c>
      <c r="G65" s="15" t="s">
        <v>123</v>
      </c>
      <c r="H65" s="15" t="s">
        <v>402</v>
      </c>
      <c r="I65" s="15">
        <v>1</v>
      </c>
      <c r="J65" s="10" t="s">
        <v>121</v>
      </c>
      <c r="K65" s="15" t="s">
        <v>121</v>
      </c>
      <c r="L65" s="15">
        <v>0</v>
      </c>
      <c r="M65" s="15" t="s">
        <v>124</v>
      </c>
      <c r="N65" s="15" t="s">
        <v>428</v>
      </c>
      <c r="O65" s="15">
        <v>0</v>
      </c>
      <c r="P65" s="9">
        <v>25</v>
      </c>
      <c r="Q65" s="1">
        <f>5/60</f>
        <v>8.3333333333333329E-2</v>
      </c>
      <c r="R65" s="10">
        <v>98</v>
      </c>
      <c r="S65" s="15" t="s">
        <v>125</v>
      </c>
    </row>
    <row r="66" spans="1:19" ht="16">
      <c r="A66" s="10" t="s">
        <v>119</v>
      </c>
      <c r="B66" s="15" t="s">
        <v>369</v>
      </c>
      <c r="C66" s="15">
        <v>1</v>
      </c>
      <c r="D66" s="10" t="s">
        <v>120</v>
      </c>
      <c r="E66" s="10" t="s">
        <v>457</v>
      </c>
      <c r="F66" s="10">
        <v>1</v>
      </c>
      <c r="G66" s="15" t="s">
        <v>121</v>
      </c>
      <c r="H66" s="15" t="s">
        <v>121</v>
      </c>
      <c r="I66" s="15">
        <v>0</v>
      </c>
      <c r="J66" s="10" t="s">
        <v>121</v>
      </c>
      <c r="K66" s="15" t="s">
        <v>121</v>
      </c>
      <c r="L66" s="15">
        <v>0</v>
      </c>
      <c r="M66" s="15" t="s">
        <v>126</v>
      </c>
      <c r="N66" s="15" t="s">
        <v>428</v>
      </c>
      <c r="O66" s="15">
        <v>0</v>
      </c>
      <c r="P66" s="9">
        <v>25</v>
      </c>
      <c r="Q66" s="1">
        <f>5/60</f>
        <v>8.3333333333333329E-2</v>
      </c>
      <c r="R66" s="10">
        <v>97</v>
      </c>
      <c r="S66" s="15" t="s">
        <v>127</v>
      </c>
    </row>
    <row r="67" spans="1:19" ht="16">
      <c r="A67" s="10" t="s">
        <v>119</v>
      </c>
      <c r="B67" s="15" t="s">
        <v>369</v>
      </c>
      <c r="C67" s="15">
        <v>1</v>
      </c>
      <c r="D67" s="10" t="s">
        <v>120</v>
      </c>
      <c r="E67" s="10" t="s">
        <v>457</v>
      </c>
      <c r="F67" s="10">
        <v>1</v>
      </c>
      <c r="G67" s="15" t="s">
        <v>128</v>
      </c>
      <c r="H67" s="15" t="s">
        <v>404</v>
      </c>
      <c r="I67" s="15">
        <v>1</v>
      </c>
      <c r="J67" s="10" t="s">
        <v>121</v>
      </c>
      <c r="K67" s="15" t="s">
        <v>121</v>
      </c>
      <c r="L67" s="15">
        <v>0</v>
      </c>
      <c r="M67" s="17" t="s">
        <v>22</v>
      </c>
      <c r="N67" s="58" t="s">
        <v>563</v>
      </c>
      <c r="O67" s="15">
        <v>0</v>
      </c>
      <c r="P67" s="9">
        <v>25</v>
      </c>
      <c r="Q67" s="1">
        <f>30/60</f>
        <v>0.5</v>
      </c>
      <c r="R67" s="10">
        <v>96</v>
      </c>
      <c r="S67" s="15" t="s">
        <v>129</v>
      </c>
    </row>
    <row r="68" spans="1:19" ht="16">
      <c r="A68" s="10" t="s">
        <v>119</v>
      </c>
      <c r="B68" s="15" t="s">
        <v>369</v>
      </c>
      <c r="C68" s="15">
        <v>1</v>
      </c>
      <c r="D68" s="10" t="s">
        <v>120</v>
      </c>
      <c r="E68" s="10" t="s">
        <v>457</v>
      </c>
      <c r="F68" s="10">
        <v>1</v>
      </c>
      <c r="G68" s="15" t="s">
        <v>59</v>
      </c>
      <c r="H68" s="14" t="s">
        <v>390</v>
      </c>
      <c r="I68" s="15">
        <v>1</v>
      </c>
      <c r="J68" s="10" t="s">
        <v>121</v>
      </c>
      <c r="K68" s="15" t="s">
        <v>121</v>
      </c>
      <c r="L68" s="15">
        <v>0</v>
      </c>
      <c r="M68" s="17" t="s">
        <v>16</v>
      </c>
      <c r="N68" s="58" t="s">
        <v>562</v>
      </c>
      <c r="O68" s="15">
        <v>0</v>
      </c>
      <c r="P68" s="9">
        <v>25</v>
      </c>
      <c r="Q68" s="1">
        <v>16</v>
      </c>
      <c r="R68" s="10">
        <v>95</v>
      </c>
      <c r="S68" s="15" t="s">
        <v>130</v>
      </c>
    </row>
    <row r="69" spans="1:19" ht="16">
      <c r="A69" s="10" t="s">
        <v>119</v>
      </c>
      <c r="B69" s="15" t="s">
        <v>369</v>
      </c>
      <c r="C69" s="15">
        <v>1</v>
      </c>
      <c r="D69" s="10" t="s">
        <v>120</v>
      </c>
      <c r="E69" s="10" t="s">
        <v>457</v>
      </c>
      <c r="F69" s="10">
        <v>1</v>
      </c>
      <c r="G69" s="15" t="s">
        <v>131</v>
      </c>
      <c r="H69" s="15" t="s">
        <v>405</v>
      </c>
      <c r="I69" s="15">
        <v>1</v>
      </c>
      <c r="J69" s="10" t="s">
        <v>121</v>
      </c>
      <c r="K69" s="15" t="s">
        <v>121</v>
      </c>
      <c r="L69" s="15">
        <v>0</v>
      </c>
      <c r="M69" s="17" t="s">
        <v>48</v>
      </c>
      <c r="N69" s="15" t="s">
        <v>425</v>
      </c>
      <c r="O69" s="15">
        <v>0</v>
      </c>
      <c r="P69" s="9">
        <v>25</v>
      </c>
      <c r="Q69" s="1">
        <f>10/60</f>
        <v>0.16666666666666666</v>
      </c>
      <c r="R69" s="10">
        <v>91</v>
      </c>
      <c r="S69" s="15" t="s">
        <v>132</v>
      </c>
    </row>
    <row r="70" spans="1:19" ht="16">
      <c r="A70" s="10" t="s">
        <v>119</v>
      </c>
      <c r="B70" s="15" t="s">
        <v>369</v>
      </c>
      <c r="C70" s="15">
        <v>1</v>
      </c>
      <c r="D70" s="10" t="s">
        <v>120</v>
      </c>
      <c r="E70" s="10" t="s">
        <v>457</v>
      </c>
      <c r="F70" s="10">
        <v>1</v>
      </c>
      <c r="G70" s="15" t="s">
        <v>128</v>
      </c>
      <c r="H70" s="15" t="s">
        <v>404</v>
      </c>
      <c r="I70" s="15">
        <v>1</v>
      </c>
      <c r="J70" s="10" t="s">
        <v>121</v>
      </c>
      <c r="K70" s="15" t="s">
        <v>121</v>
      </c>
      <c r="L70" s="15">
        <v>0</v>
      </c>
      <c r="M70" s="17" t="s">
        <v>22</v>
      </c>
      <c r="N70" s="58" t="s">
        <v>563</v>
      </c>
      <c r="O70" s="15">
        <v>0</v>
      </c>
      <c r="P70" s="9">
        <v>25</v>
      </c>
      <c r="Q70" s="1">
        <f>30/60</f>
        <v>0.5</v>
      </c>
      <c r="R70" s="10">
        <v>90</v>
      </c>
      <c r="S70" s="15" t="s">
        <v>133</v>
      </c>
    </row>
    <row r="71" spans="1:19" ht="16">
      <c r="A71" s="10" t="s">
        <v>119</v>
      </c>
      <c r="B71" s="15" t="s">
        <v>369</v>
      </c>
      <c r="C71" s="15">
        <v>1</v>
      </c>
      <c r="D71" s="10" t="s">
        <v>120</v>
      </c>
      <c r="E71" s="10" t="s">
        <v>457</v>
      </c>
      <c r="F71" s="10">
        <v>1</v>
      </c>
      <c r="G71" s="15" t="s">
        <v>128</v>
      </c>
      <c r="H71" s="15" t="s">
        <v>404</v>
      </c>
      <c r="I71" s="15">
        <v>1</v>
      </c>
      <c r="J71" s="10" t="s">
        <v>121</v>
      </c>
      <c r="K71" s="15" t="s">
        <v>121</v>
      </c>
      <c r="L71" s="15">
        <v>0</v>
      </c>
      <c r="M71" s="17" t="s">
        <v>22</v>
      </c>
      <c r="N71" s="58" t="s">
        <v>563</v>
      </c>
      <c r="O71" s="15">
        <v>0</v>
      </c>
      <c r="P71" s="9">
        <v>25</v>
      </c>
      <c r="Q71" s="1">
        <f>30/60</f>
        <v>0.5</v>
      </c>
      <c r="R71" s="10">
        <v>90</v>
      </c>
      <c r="S71" s="15" t="s">
        <v>134</v>
      </c>
    </row>
    <row r="72" spans="1:19" ht="16">
      <c r="A72" s="10" t="s">
        <v>119</v>
      </c>
      <c r="B72" s="15" t="s">
        <v>369</v>
      </c>
      <c r="C72" s="15">
        <v>1</v>
      </c>
      <c r="D72" s="10" t="s">
        <v>120</v>
      </c>
      <c r="E72" s="10" t="s">
        <v>457</v>
      </c>
      <c r="F72" s="10">
        <v>1</v>
      </c>
      <c r="G72" s="15" t="s">
        <v>135</v>
      </c>
      <c r="H72" s="15" t="s">
        <v>406</v>
      </c>
      <c r="I72" s="15">
        <v>1</v>
      </c>
      <c r="J72" s="10" t="s">
        <v>121</v>
      </c>
      <c r="K72" s="15" t="s">
        <v>121</v>
      </c>
      <c r="L72" s="15">
        <v>0</v>
      </c>
      <c r="M72" s="15" t="s">
        <v>136</v>
      </c>
      <c r="N72" s="15" t="s">
        <v>432</v>
      </c>
      <c r="O72" s="15">
        <v>0</v>
      </c>
      <c r="P72" s="9">
        <v>155</v>
      </c>
      <c r="Q72" s="1">
        <v>15</v>
      </c>
      <c r="R72" s="10">
        <v>83</v>
      </c>
      <c r="S72" s="15" t="s">
        <v>137</v>
      </c>
    </row>
    <row r="73" spans="1:19" ht="16">
      <c r="A73" s="10" t="s">
        <v>119</v>
      </c>
      <c r="B73" s="15" t="s">
        <v>369</v>
      </c>
      <c r="C73" s="15">
        <v>1</v>
      </c>
      <c r="D73" s="10" t="s">
        <v>120</v>
      </c>
      <c r="E73" s="10" t="s">
        <v>457</v>
      </c>
      <c r="F73" s="10">
        <v>1</v>
      </c>
      <c r="G73" s="15" t="s">
        <v>138</v>
      </c>
      <c r="H73" s="15" t="s">
        <v>407</v>
      </c>
      <c r="I73" s="15">
        <v>1</v>
      </c>
      <c r="J73" s="10" t="s">
        <v>121</v>
      </c>
      <c r="K73" s="15" t="s">
        <v>121</v>
      </c>
      <c r="L73" s="15">
        <v>0</v>
      </c>
      <c r="M73" s="15" t="s">
        <v>139</v>
      </c>
      <c r="N73" s="15" t="s">
        <v>429</v>
      </c>
      <c r="O73" s="15">
        <v>0</v>
      </c>
      <c r="P73" s="9">
        <v>25</v>
      </c>
      <c r="Q73" s="1">
        <v>16</v>
      </c>
      <c r="R73" s="10">
        <v>80</v>
      </c>
      <c r="S73" s="15" t="s">
        <v>140</v>
      </c>
    </row>
    <row r="74" spans="1:19" ht="16">
      <c r="A74" s="10" t="s">
        <v>119</v>
      </c>
      <c r="B74" s="15" t="s">
        <v>369</v>
      </c>
      <c r="C74" s="15">
        <v>1</v>
      </c>
      <c r="D74" s="10" t="s">
        <v>120</v>
      </c>
      <c r="E74" s="10" t="s">
        <v>457</v>
      </c>
      <c r="F74" s="10">
        <v>1</v>
      </c>
      <c r="G74" s="15" t="s">
        <v>141</v>
      </c>
      <c r="H74" s="15" t="s">
        <v>408</v>
      </c>
      <c r="I74" s="15">
        <v>1</v>
      </c>
      <c r="J74" s="10" t="s">
        <v>142</v>
      </c>
      <c r="K74" s="15" t="s">
        <v>121</v>
      </c>
      <c r="L74" s="15">
        <v>0</v>
      </c>
      <c r="M74" s="15" t="s">
        <v>124</v>
      </c>
      <c r="N74" s="15" t="s">
        <v>428</v>
      </c>
      <c r="O74" s="15">
        <v>0</v>
      </c>
      <c r="P74" s="9">
        <v>110</v>
      </c>
      <c r="Q74" s="1">
        <v>4</v>
      </c>
      <c r="R74" s="10">
        <v>59</v>
      </c>
      <c r="S74" s="15" t="s">
        <v>143</v>
      </c>
    </row>
    <row r="75" spans="1:19" ht="18">
      <c r="A75" s="63" t="s">
        <v>119</v>
      </c>
      <c r="B75" s="62" t="s">
        <v>369</v>
      </c>
      <c r="C75" s="62">
        <v>1</v>
      </c>
      <c r="D75" s="63" t="s">
        <v>120</v>
      </c>
      <c r="E75" s="63" t="s">
        <v>457</v>
      </c>
      <c r="F75" s="63">
        <v>1</v>
      </c>
      <c r="G75" s="74" t="s">
        <v>409</v>
      </c>
      <c r="H75" s="62" t="s">
        <v>572</v>
      </c>
      <c r="I75" s="62">
        <v>1</v>
      </c>
      <c r="J75" s="63" t="s">
        <v>121</v>
      </c>
      <c r="K75" s="62" t="s">
        <v>121</v>
      </c>
      <c r="L75" s="62">
        <v>0</v>
      </c>
      <c r="M75" s="62" t="s">
        <v>91</v>
      </c>
      <c r="N75" s="65" t="s">
        <v>562</v>
      </c>
      <c r="O75" s="62">
        <v>0</v>
      </c>
      <c r="P75" s="66">
        <v>25</v>
      </c>
      <c r="Q75" s="67">
        <v>12</v>
      </c>
      <c r="R75" s="63">
        <v>51</v>
      </c>
      <c r="S75" s="62" t="s">
        <v>144</v>
      </c>
    </row>
    <row r="76" spans="1:19" ht="16">
      <c r="A76" s="10" t="s">
        <v>119</v>
      </c>
      <c r="B76" s="15" t="s">
        <v>369</v>
      </c>
      <c r="C76" s="15">
        <v>1</v>
      </c>
      <c r="D76" s="10" t="s">
        <v>145</v>
      </c>
      <c r="E76" s="10" t="s">
        <v>464</v>
      </c>
      <c r="F76" s="10">
        <v>1</v>
      </c>
      <c r="G76" s="15" t="s">
        <v>121</v>
      </c>
      <c r="H76" s="15" t="s">
        <v>121</v>
      </c>
      <c r="I76" s="15">
        <v>0</v>
      </c>
      <c r="J76" s="10" t="s">
        <v>121</v>
      </c>
      <c r="K76" s="15" t="s">
        <v>121</v>
      </c>
      <c r="L76" s="15">
        <v>0</v>
      </c>
      <c r="M76" s="17" t="s">
        <v>22</v>
      </c>
      <c r="N76" s="14" t="s">
        <v>563</v>
      </c>
      <c r="O76" s="15">
        <v>0</v>
      </c>
      <c r="P76" s="9">
        <v>25</v>
      </c>
      <c r="Q76" s="1">
        <f>30/60</f>
        <v>0.5</v>
      </c>
      <c r="R76" s="10">
        <v>88</v>
      </c>
      <c r="S76" s="15" t="s">
        <v>146</v>
      </c>
    </row>
    <row r="77" spans="1:19" ht="16">
      <c r="A77" s="10" t="s">
        <v>119</v>
      </c>
      <c r="B77" s="15" t="s">
        <v>369</v>
      </c>
      <c r="C77" s="15">
        <v>1</v>
      </c>
      <c r="D77" s="10" t="s">
        <v>145</v>
      </c>
      <c r="E77" s="10" t="s">
        <v>464</v>
      </c>
      <c r="F77" s="10">
        <v>1</v>
      </c>
      <c r="G77" s="15" t="s">
        <v>121</v>
      </c>
      <c r="H77" s="15" t="s">
        <v>121</v>
      </c>
      <c r="I77" s="15">
        <v>0</v>
      </c>
      <c r="J77" s="10" t="s">
        <v>121</v>
      </c>
      <c r="K77" s="15" t="s">
        <v>121</v>
      </c>
      <c r="L77" s="15">
        <v>0</v>
      </c>
      <c r="M77" s="17" t="s">
        <v>22</v>
      </c>
      <c r="N77" s="58" t="s">
        <v>563</v>
      </c>
      <c r="O77" s="15">
        <v>0</v>
      </c>
      <c r="P77" s="9">
        <v>25</v>
      </c>
      <c r="Q77" s="1">
        <f>30/60</f>
        <v>0.5</v>
      </c>
      <c r="R77" s="10">
        <v>86</v>
      </c>
      <c r="S77" s="15" t="s">
        <v>147</v>
      </c>
    </row>
    <row r="78" spans="1:19" ht="16">
      <c r="A78" s="10" t="s">
        <v>119</v>
      </c>
      <c r="B78" s="15" t="s">
        <v>369</v>
      </c>
      <c r="C78" s="15">
        <v>1</v>
      </c>
      <c r="D78" s="10" t="s">
        <v>145</v>
      </c>
      <c r="E78" s="10" t="s">
        <v>464</v>
      </c>
      <c r="F78" s="10">
        <v>1</v>
      </c>
      <c r="G78" s="15" t="s">
        <v>121</v>
      </c>
      <c r="H78" s="15" t="s">
        <v>121</v>
      </c>
      <c r="I78" s="15">
        <v>0</v>
      </c>
      <c r="J78" s="10" t="s">
        <v>121</v>
      </c>
      <c r="K78" s="15" t="s">
        <v>121</v>
      </c>
      <c r="L78" s="15">
        <v>0</v>
      </c>
      <c r="M78" s="17" t="s">
        <v>40</v>
      </c>
      <c r="N78" s="14" t="s">
        <v>423</v>
      </c>
      <c r="O78" s="15">
        <v>0</v>
      </c>
      <c r="P78" s="9">
        <v>100</v>
      </c>
      <c r="Q78" s="1">
        <v>10</v>
      </c>
      <c r="R78" s="10">
        <v>86</v>
      </c>
      <c r="S78" s="15" t="s">
        <v>148</v>
      </c>
    </row>
    <row r="79" spans="1:19" ht="16">
      <c r="A79" s="10" t="s">
        <v>119</v>
      </c>
      <c r="B79" s="15" t="s">
        <v>369</v>
      </c>
      <c r="C79" s="15">
        <v>0.1</v>
      </c>
      <c r="D79" s="10" t="s">
        <v>145</v>
      </c>
      <c r="E79" s="10" t="s">
        <v>464</v>
      </c>
      <c r="F79" s="10">
        <v>0.15</v>
      </c>
      <c r="G79" s="17" t="s">
        <v>59</v>
      </c>
      <c r="H79" s="16" t="s">
        <v>390</v>
      </c>
      <c r="I79" s="15">
        <v>1.5</v>
      </c>
      <c r="J79" s="10" t="s">
        <v>121</v>
      </c>
      <c r="K79" s="15" t="s">
        <v>121</v>
      </c>
      <c r="L79" s="15">
        <v>0</v>
      </c>
      <c r="M79" s="17" t="s">
        <v>91</v>
      </c>
      <c r="N79" s="58" t="s">
        <v>562</v>
      </c>
      <c r="O79" s="15">
        <v>0</v>
      </c>
      <c r="P79" s="9">
        <v>25</v>
      </c>
      <c r="Q79" s="1">
        <v>48</v>
      </c>
      <c r="R79" s="10">
        <v>89</v>
      </c>
      <c r="S79" s="15" t="s">
        <v>150</v>
      </c>
    </row>
    <row r="80" spans="1:19" ht="16">
      <c r="A80" s="10" t="s">
        <v>119</v>
      </c>
      <c r="B80" s="15" t="s">
        <v>369</v>
      </c>
      <c r="C80" s="15">
        <v>1</v>
      </c>
      <c r="D80" s="10" t="s">
        <v>145</v>
      </c>
      <c r="E80" s="10" t="s">
        <v>464</v>
      </c>
      <c r="F80" s="10">
        <v>1</v>
      </c>
      <c r="G80" s="17" t="s">
        <v>121</v>
      </c>
      <c r="H80" s="17" t="s">
        <v>121</v>
      </c>
      <c r="I80" s="17">
        <v>0</v>
      </c>
      <c r="J80" s="26" t="s">
        <v>24</v>
      </c>
      <c r="K80" s="17">
        <v>2.2000000000000002</v>
      </c>
      <c r="L80" s="15">
        <v>0</v>
      </c>
      <c r="M80" s="17" t="s">
        <v>91</v>
      </c>
      <c r="N80" s="58" t="s">
        <v>562</v>
      </c>
      <c r="O80" s="15">
        <v>2</v>
      </c>
      <c r="P80" s="9">
        <v>25</v>
      </c>
      <c r="Q80" s="1">
        <v>3</v>
      </c>
      <c r="R80" s="10">
        <v>88</v>
      </c>
      <c r="S80" s="15" t="s">
        <v>151</v>
      </c>
    </row>
    <row r="81" spans="1:19" ht="16">
      <c r="A81" s="10" t="s">
        <v>119</v>
      </c>
      <c r="B81" s="15" t="s">
        <v>369</v>
      </c>
      <c r="C81" s="15">
        <v>4</v>
      </c>
      <c r="D81" s="10" t="s">
        <v>145</v>
      </c>
      <c r="E81" s="10" t="s">
        <v>464</v>
      </c>
      <c r="F81" s="10">
        <v>4</v>
      </c>
      <c r="G81" s="15" t="s">
        <v>152</v>
      </c>
      <c r="H81" s="15" t="s">
        <v>410</v>
      </c>
      <c r="I81" s="15">
        <v>0.2</v>
      </c>
      <c r="J81" s="10" t="s">
        <v>121</v>
      </c>
      <c r="K81" s="15" t="s">
        <v>121</v>
      </c>
      <c r="L81" s="15">
        <v>0</v>
      </c>
      <c r="M81" s="15" t="s">
        <v>153</v>
      </c>
      <c r="N81" s="15" t="s">
        <v>430</v>
      </c>
      <c r="O81" s="15">
        <v>5</v>
      </c>
      <c r="P81" s="9">
        <v>25</v>
      </c>
      <c r="Q81" s="1">
        <v>28</v>
      </c>
      <c r="R81" s="10">
        <v>88</v>
      </c>
      <c r="S81" s="15" t="s">
        <v>154</v>
      </c>
    </row>
    <row r="82" spans="1:19" ht="16">
      <c r="A82" s="10" t="s">
        <v>119</v>
      </c>
      <c r="B82" s="15" t="s">
        <v>369</v>
      </c>
      <c r="C82" s="15">
        <v>5</v>
      </c>
      <c r="D82" s="10" t="s">
        <v>145</v>
      </c>
      <c r="E82" s="10" t="s">
        <v>464</v>
      </c>
      <c r="F82" s="10">
        <v>5</v>
      </c>
      <c r="G82" s="17" t="s">
        <v>121</v>
      </c>
      <c r="H82" s="17" t="s">
        <v>121</v>
      </c>
      <c r="I82" s="15">
        <v>0</v>
      </c>
      <c r="J82" s="10" t="s">
        <v>155</v>
      </c>
      <c r="K82" s="14" t="s">
        <v>381</v>
      </c>
      <c r="L82" s="15">
        <v>5</v>
      </c>
      <c r="M82" s="17" t="s">
        <v>48</v>
      </c>
      <c r="N82" s="15" t="s">
        <v>425</v>
      </c>
      <c r="O82" s="15">
        <v>50</v>
      </c>
      <c r="P82" s="9">
        <v>25</v>
      </c>
      <c r="Q82" s="1">
        <v>1</v>
      </c>
      <c r="R82" s="10">
        <v>85</v>
      </c>
      <c r="S82" s="15" t="s">
        <v>156</v>
      </c>
    </row>
    <row r="83" spans="1:19" ht="16">
      <c r="A83" s="10" t="s">
        <v>119</v>
      </c>
      <c r="B83" s="15" t="s">
        <v>369</v>
      </c>
      <c r="C83" s="15">
        <v>1</v>
      </c>
      <c r="D83" s="10" t="s">
        <v>145</v>
      </c>
      <c r="E83" s="10" t="s">
        <v>464</v>
      </c>
      <c r="F83" s="10">
        <v>2</v>
      </c>
      <c r="G83" s="17" t="s">
        <v>121</v>
      </c>
      <c r="H83" s="17" t="s">
        <v>121</v>
      </c>
      <c r="I83" s="15">
        <v>0</v>
      </c>
      <c r="J83" s="10" t="s">
        <v>121</v>
      </c>
      <c r="K83" s="15" t="s">
        <v>121</v>
      </c>
      <c r="L83" s="15">
        <v>0</v>
      </c>
      <c r="M83" s="15" t="s">
        <v>40</v>
      </c>
      <c r="N83" s="14" t="s">
        <v>423</v>
      </c>
      <c r="O83" s="15">
        <v>8.5</v>
      </c>
      <c r="P83" s="9">
        <v>25</v>
      </c>
      <c r="Q83" s="1">
        <v>4</v>
      </c>
      <c r="R83" s="10">
        <v>82</v>
      </c>
      <c r="S83" s="15" t="s">
        <v>157</v>
      </c>
    </row>
    <row r="84" spans="1:19" ht="16">
      <c r="A84" s="10" t="s">
        <v>119</v>
      </c>
      <c r="B84" s="15" t="s">
        <v>369</v>
      </c>
      <c r="C84" s="15">
        <v>1.5</v>
      </c>
      <c r="D84" s="10" t="s">
        <v>145</v>
      </c>
      <c r="E84" s="10" t="s">
        <v>464</v>
      </c>
      <c r="F84" s="10">
        <v>1</v>
      </c>
      <c r="G84" s="15" t="s">
        <v>158</v>
      </c>
      <c r="H84" s="15" t="s">
        <v>411</v>
      </c>
      <c r="I84" s="15">
        <v>0.2</v>
      </c>
      <c r="J84" s="10" t="s">
        <v>121</v>
      </c>
      <c r="K84" s="15" t="s">
        <v>121</v>
      </c>
      <c r="L84" s="15">
        <v>0</v>
      </c>
      <c r="M84" s="15" t="s">
        <v>40</v>
      </c>
      <c r="N84" s="14" t="s">
        <v>423</v>
      </c>
      <c r="O84" s="15">
        <v>0.6</v>
      </c>
      <c r="P84" s="9">
        <v>70</v>
      </c>
      <c r="Q84" s="1">
        <v>24</v>
      </c>
      <c r="R84" s="10">
        <v>82</v>
      </c>
      <c r="S84" s="15" t="s">
        <v>159</v>
      </c>
    </row>
    <row r="85" spans="1:19" ht="16">
      <c r="A85" s="10" t="s">
        <v>119</v>
      </c>
      <c r="B85" s="15" t="s">
        <v>369</v>
      </c>
      <c r="C85" s="15">
        <v>1</v>
      </c>
      <c r="D85" s="10" t="s">
        <v>145</v>
      </c>
      <c r="E85" s="10" t="s">
        <v>464</v>
      </c>
      <c r="F85" s="10">
        <v>2</v>
      </c>
      <c r="G85" s="15" t="s">
        <v>440</v>
      </c>
      <c r="H85" s="15" t="s">
        <v>412</v>
      </c>
      <c r="I85" s="15">
        <v>1.25</v>
      </c>
      <c r="J85" s="10" t="s">
        <v>24</v>
      </c>
      <c r="K85" s="14" t="s">
        <v>380</v>
      </c>
      <c r="L85" s="15">
        <v>3.125</v>
      </c>
      <c r="M85" s="15" t="s">
        <v>22</v>
      </c>
      <c r="N85" s="58" t="s">
        <v>563</v>
      </c>
      <c r="O85" s="15">
        <v>6.4</v>
      </c>
      <c r="P85" s="9">
        <v>25</v>
      </c>
      <c r="Q85" s="1">
        <v>1</v>
      </c>
      <c r="R85" s="10">
        <v>81</v>
      </c>
      <c r="S85" s="15" t="s">
        <v>160</v>
      </c>
    </row>
    <row r="86" spans="1:19" ht="16">
      <c r="A86" s="10" t="s">
        <v>119</v>
      </c>
      <c r="B86" s="15" t="s">
        <v>369</v>
      </c>
      <c r="C86" s="15">
        <v>1</v>
      </c>
      <c r="D86" s="10" t="s">
        <v>145</v>
      </c>
      <c r="E86" s="10" t="s">
        <v>464</v>
      </c>
      <c r="F86" s="10">
        <v>1</v>
      </c>
      <c r="G86" s="15" t="s">
        <v>121</v>
      </c>
      <c r="H86" s="15" t="s">
        <v>121</v>
      </c>
      <c r="I86" s="15">
        <v>0</v>
      </c>
      <c r="J86" s="10" t="s">
        <v>24</v>
      </c>
      <c r="K86" s="14" t="s">
        <v>380</v>
      </c>
      <c r="L86" s="15">
        <v>0</v>
      </c>
      <c r="M86" s="15" t="s">
        <v>16</v>
      </c>
      <c r="N86" s="58" t="s">
        <v>562</v>
      </c>
      <c r="O86" s="15">
        <v>0</v>
      </c>
      <c r="P86" s="9">
        <v>25</v>
      </c>
      <c r="Q86" s="1">
        <v>1.5</v>
      </c>
      <c r="R86" s="10">
        <v>77</v>
      </c>
      <c r="S86" s="15" t="s">
        <v>161</v>
      </c>
    </row>
    <row r="87" spans="1:19" ht="16">
      <c r="A87" s="10" t="s">
        <v>119</v>
      </c>
      <c r="B87" s="15" t="s">
        <v>369</v>
      </c>
      <c r="C87" s="15">
        <v>1</v>
      </c>
      <c r="D87" s="10" t="s">
        <v>145</v>
      </c>
      <c r="E87" s="10" t="s">
        <v>464</v>
      </c>
      <c r="F87" s="10">
        <v>1</v>
      </c>
      <c r="G87" s="15" t="s">
        <v>59</v>
      </c>
      <c r="H87" s="14" t="s">
        <v>390</v>
      </c>
      <c r="I87" s="15">
        <v>1.3</v>
      </c>
      <c r="J87" s="10" t="s">
        <v>162</v>
      </c>
      <c r="K87" s="15" t="s">
        <v>384</v>
      </c>
      <c r="L87" s="15">
        <v>2</v>
      </c>
      <c r="M87" s="15" t="s">
        <v>163</v>
      </c>
      <c r="N87" s="15" t="s">
        <v>435</v>
      </c>
      <c r="O87" s="15">
        <v>0.5</v>
      </c>
      <c r="P87" s="9">
        <v>60</v>
      </c>
      <c r="Q87" s="1">
        <v>0.25</v>
      </c>
      <c r="R87" s="10">
        <v>99</v>
      </c>
      <c r="S87" s="15" t="s">
        <v>164</v>
      </c>
    </row>
    <row r="88" spans="1:19" ht="16">
      <c r="A88" s="63" t="s">
        <v>165</v>
      </c>
      <c r="B88" s="62" t="s">
        <v>370</v>
      </c>
      <c r="C88" s="62">
        <v>1</v>
      </c>
      <c r="D88" s="63" t="s">
        <v>166</v>
      </c>
      <c r="E88" s="63" t="s">
        <v>467</v>
      </c>
      <c r="F88" s="63">
        <v>1.2</v>
      </c>
      <c r="G88" s="62" t="s">
        <v>102</v>
      </c>
      <c r="H88" s="62" t="s">
        <v>399</v>
      </c>
      <c r="I88" s="62">
        <v>1.1000000000000001</v>
      </c>
      <c r="J88" s="64" t="s">
        <v>196</v>
      </c>
      <c r="K88" s="65" t="s">
        <v>381</v>
      </c>
      <c r="L88" s="62">
        <v>3</v>
      </c>
      <c r="M88" s="62" t="s">
        <v>16</v>
      </c>
      <c r="N88" s="65" t="s">
        <v>562</v>
      </c>
      <c r="O88" s="62">
        <v>0</v>
      </c>
      <c r="P88" s="66">
        <v>25</v>
      </c>
      <c r="Q88" s="67">
        <v>12</v>
      </c>
      <c r="R88" s="63">
        <v>49</v>
      </c>
      <c r="S88" s="62" t="s">
        <v>167</v>
      </c>
    </row>
    <row r="89" spans="1:19" ht="16">
      <c r="A89" s="63" t="s">
        <v>165</v>
      </c>
      <c r="B89" s="62" t="s">
        <v>370</v>
      </c>
      <c r="C89" s="62">
        <v>1</v>
      </c>
      <c r="D89" s="63" t="s">
        <v>166</v>
      </c>
      <c r="E89" s="63" t="s">
        <v>467</v>
      </c>
      <c r="F89" s="63">
        <v>1</v>
      </c>
      <c r="G89" s="62" t="s">
        <v>59</v>
      </c>
      <c r="H89" s="65" t="s">
        <v>390</v>
      </c>
      <c r="I89" s="62">
        <v>1</v>
      </c>
      <c r="J89" s="63" t="s">
        <v>121</v>
      </c>
      <c r="K89" s="62" t="s">
        <v>121</v>
      </c>
      <c r="L89" s="62">
        <v>0</v>
      </c>
      <c r="M89" s="62" t="s">
        <v>168</v>
      </c>
      <c r="N89" s="62" t="s">
        <v>573</v>
      </c>
      <c r="O89" s="62">
        <v>0</v>
      </c>
      <c r="P89" s="66">
        <v>40</v>
      </c>
      <c r="Q89" s="67">
        <v>2</v>
      </c>
      <c r="R89" s="63">
        <v>88</v>
      </c>
      <c r="S89" s="62" t="s">
        <v>169</v>
      </c>
    </row>
    <row r="90" spans="1:19" ht="16">
      <c r="A90" s="10" t="s">
        <v>170</v>
      </c>
      <c r="B90" s="15" t="s">
        <v>371</v>
      </c>
      <c r="C90" s="15">
        <v>1.1000000000000001</v>
      </c>
      <c r="D90" s="10" t="s">
        <v>171</v>
      </c>
      <c r="E90" s="10" t="s">
        <v>465</v>
      </c>
      <c r="F90" s="10">
        <v>1</v>
      </c>
      <c r="G90" s="15" t="s">
        <v>59</v>
      </c>
      <c r="H90" s="14" t="s">
        <v>390</v>
      </c>
      <c r="I90" s="15">
        <v>1.2</v>
      </c>
      <c r="J90" s="10" t="s">
        <v>149</v>
      </c>
      <c r="K90" s="15" t="s">
        <v>387</v>
      </c>
      <c r="L90" s="15">
        <v>1.1000000000000001</v>
      </c>
      <c r="M90" s="15" t="s">
        <v>16</v>
      </c>
      <c r="N90" s="58" t="s">
        <v>562</v>
      </c>
      <c r="O90" s="15">
        <v>2.2000000000000002</v>
      </c>
      <c r="P90" s="9">
        <v>25</v>
      </c>
      <c r="Q90" s="1">
        <v>12</v>
      </c>
      <c r="R90" s="10">
        <v>90</v>
      </c>
      <c r="S90" s="15" t="s">
        <v>172</v>
      </c>
    </row>
    <row r="91" spans="1:19" ht="16">
      <c r="A91" s="63" t="s">
        <v>170</v>
      </c>
      <c r="B91" s="15" t="s">
        <v>371</v>
      </c>
      <c r="C91" s="62">
        <v>1.2</v>
      </c>
      <c r="D91" s="61" t="s">
        <v>566</v>
      </c>
      <c r="E91" s="63" t="s">
        <v>567</v>
      </c>
      <c r="F91" s="63">
        <v>1</v>
      </c>
      <c r="G91" s="62" t="s">
        <v>15</v>
      </c>
      <c r="H91" s="62" t="s">
        <v>392</v>
      </c>
      <c r="I91" s="62">
        <v>1.5</v>
      </c>
      <c r="J91" s="64" t="s">
        <v>568</v>
      </c>
      <c r="K91" s="65" t="s">
        <v>569</v>
      </c>
      <c r="L91" s="62">
        <v>2</v>
      </c>
      <c r="M91" s="62" t="s">
        <v>16</v>
      </c>
      <c r="N91" s="65" t="s">
        <v>562</v>
      </c>
      <c r="O91" s="62">
        <v>0</v>
      </c>
      <c r="P91" s="66">
        <v>80</v>
      </c>
      <c r="Q91" s="67">
        <v>6</v>
      </c>
      <c r="R91" s="63">
        <v>59</v>
      </c>
      <c r="S91" s="62" t="s">
        <v>173</v>
      </c>
    </row>
    <row r="92" spans="1:19" ht="16">
      <c r="A92" s="63" t="s">
        <v>375</v>
      </c>
      <c r="B92" s="62" t="s">
        <v>376</v>
      </c>
      <c r="C92" s="62">
        <v>1</v>
      </c>
      <c r="D92" s="63" t="s">
        <v>171</v>
      </c>
      <c r="E92" s="63" t="s">
        <v>466</v>
      </c>
      <c r="F92" s="63">
        <v>1</v>
      </c>
      <c r="G92" s="62" t="s">
        <v>121</v>
      </c>
      <c r="H92" s="62" t="s">
        <v>121</v>
      </c>
      <c r="I92" s="62">
        <v>0</v>
      </c>
      <c r="J92" s="63" t="s">
        <v>121</v>
      </c>
      <c r="K92" s="62" t="s">
        <v>121</v>
      </c>
      <c r="L92" s="62">
        <v>0</v>
      </c>
      <c r="M92" s="62" t="s">
        <v>174</v>
      </c>
      <c r="N92" s="62" t="s">
        <v>435</v>
      </c>
      <c r="O92" s="62">
        <v>0</v>
      </c>
      <c r="P92" s="66">
        <v>25</v>
      </c>
      <c r="Q92" s="67">
        <v>0.25</v>
      </c>
      <c r="R92" s="63">
        <v>85</v>
      </c>
      <c r="S92" s="62" t="s">
        <v>175</v>
      </c>
    </row>
    <row r="93" spans="1:19" ht="16">
      <c r="A93" s="26" t="s">
        <v>375</v>
      </c>
      <c r="B93" s="15" t="s">
        <v>376</v>
      </c>
      <c r="C93" s="15">
        <v>1</v>
      </c>
      <c r="D93" s="10" t="s">
        <v>171</v>
      </c>
      <c r="E93" s="10" t="s">
        <v>466</v>
      </c>
      <c r="F93" s="10">
        <v>1.1000000000000001</v>
      </c>
      <c r="G93" s="15" t="s">
        <v>59</v>
      </c>
      <c r="H93" s="14" t="s">
        <v>390</v>
      </c>
      <c r="I93" s="15">
        <v>1.5</v>
      </c>
      <c r="J93" s="10" t="s">
        <v>121</v>
      </c>
      <c r="K93" s="15" t="s">
        <v>121</v>
      </c>
      <c r="L93" s="15">
        <v>0</v>
      </c>
      <c r="M93" s="15" t="s">
        <v>16</v>
      </c>
      <c r="N93" s="58" t="s">
        <v>562</v>
      </c>
      <c r="O93" s="15">
        <v>2.5000000000000001E-2</v>
      </c>
      <c r="P93" s="9">
        <v>25</v>
      </c>
      <c r="Q93" s="1">
        <v>24</v>
      </c>
      <c r="R93" s="10">
        <v>86</v>
      </c>
      <c r="S93" s="15" t="s">
        <v>176</v>
      </c>
    </row>
    <row r="94" spans="1:19" ht="16">
      <c r="A94" s="63" t="s">
        <v>177</v>
      </c>
      <c r="B94" s="62" t="s">
        <v>377</v>
      </c>
      <c r="C94" s="62">
        <v>1</v>
      </c>
      <c r="D94" s="63" t="s">
        <v>178</v>
      </c>
      <c r="E94" s="63" t="s">
        <v>468</v>
      </c>
      <c r="F94" s="63">
        <v>1</v>
      </c>
      <c r="G94" s="62" t="s">
        <v>59</v>
      </c>
      <c r="H94" s="65" t="s">
        <v>390</v>
      </c>
      <c r="I94" s="62">
        <v>1.1000000000000001</v>
      </c>
      <c r="J94" s="63" t="s">
        <v>121</v>
      </c>
      <c r="K94" s="62" t="s">
        <v>121</v>
      </c>
      <c r="L94" s="62">
        <v>0</v>
      </c>
      <c r="M94" s="62" t="s">
        <v>16</v>
      </c>
      <c r="N94" s="65" t="s">
        <v>562</v>
      </c>
      <c r="O94" s="62">
        <v>0</v>
      </c>
      <c r="P94" s="66">
        <v>25</v>
      </c>
      <c r="Q94" s="67">
        <v>2</v>
      </c>
      <c r="R94" s="63">
        <v>80</v>
      </c>
      <c r="S94" s="62" t="s">
        <v>179</v>
      </c>
    </row>
    <row r="95" spans="1:19" ht="16">
      <c r="A95" s="10" t="s">
        <v>180</v>
      </c>
      <c r="B95" s="15" t="s">
        <v>378</v>
      </c>
      <c r="C95" s="15">
        <v>1</v>
      </c>
      <c r="D95" s="10" t="s">
        <v>171</v>
      </c>
      <c r="E95" s="10" t="s">
        <v>466</v>
      </c>
      <c r="F95" s="10">
        <v>1.5</v>
      </c>
      <c r="G95" s="17" t="s">
        <v>59</v>
      </c>
      <c r="H95" s="14" t="s">
        <v>390</v>
      </c>
      <c r="I95" s="15">
        <v>1.5</v>
      </c>
      <c r="J95" s="26" t="s">
        <v>21</v>
      </c>
      <c r="K95" s="14" t="s">
        <v>380</v>
      </c>
      <c r="L95" s="15">
        <v>3</v>
      </c>
      <c r="M95" s="17" t="s">
        <v>91</v>
      </c>
      <c r="N95" s="58" t="s">
        <v>562</v>
      </c>
      <c r="O95" s="15">
        <v>0</v>
      </c>
      <c r="P95" s="9">
        <v>25</v>
      </c>
      <c r="Q95" s="1">
        <v>16</v>
      </c>
      <c r="R95" s="10">
        <v>55</v>
      </c>
      <c r="S95" s="15" t="s">
        <v>181</v>
      </c>
    </row>
    <row r="96" spans="1:19" ht="16">
      <c r="A96" s="10" t="s">
        <v>119</v>
      </c>
      <c r="B96" s="15" t="s">
        <v>369</v>
      </c>
      <c r="C96" s="15">
        <v>1.1000000000000001</v>
      </c>
      <c r="D96" s="10" t="s">
        <v>182</v>
      </c>
      <c r="E96" s="10" t="s">
        <v>469</v>
      </c>
      <c r="F96" s="10">
        <v>1</v>
      </c>
      <c r="G96" s="15" t="s">
        <v>183</v>
      </c>
      <c r="H96" s="15" t="s">
        <v>413</v>
      </c>
      <c r="I96" s="15">
        <v>0.1</v>
      </c>
      <c r="J96" s="10" t="s">
        <v>121</v>
      </c>
      <c r="K96" s="15" t="s">
        <v>121</v>
      </c>
      <c r="L96" s="15">
        <v>0</v>
      </c>
      <c r="M96" s="15" t="s">
        <v>153</v>
      </c>
      <c r="N96" s="15" t="s">
        <v>430</v>
      </c>
      <c r="O96" s="15">
        <v>0</v>
      </c>
      <c r="P96" s="9">
        <v>100</v>
      </c>
      <c r="Q96" s="1">
        <v>6</v>
      </c>
      <c r="R96" s="10">
        <v>98</v>
      </c>
      <c r="S96" s="15" t="s">
        <v>184</v>
      </c>
    </row>
    <row r="97" spans="1:19" ht="16">
      <c r="A97" s="10" t="s">
        <v>119</v>
      </c>
      <c r="B97" s="15" t="s">
        <v>369</v>
      </c>
      <c r="C97" s="15">
        <v>1</v>
      </c>
      <c r="D97" s="10" t="s">
        <v>171</v>
      </c>
      <c r="E97" s="10" t="s">
        <v>466</v>
      </c>
      <c r="F97" s="10">
        <v>1</v>
      </c>
      <c r="G97" s="15" t="s">
        <v>185</v>
      </c>
      <c r="H97" s="15" t="s">
        <v>414</v>
      </c>
      <c r="I97" s="15">
        <v>0.01</v>
      </c>
      <c r="J97" s="10" t="s">
        <v>121</v>
      </c>
      <c r="K97" s="15" t="s">
        <v>121</v>
      </c>
      <c r="L97" s="15">
        <v>0</v>
      </c>
      <c r="M97" s="15" t="s">
        <v>186</v>
      </c>
      <c r="N97" s="15" t="s">
        <v>428</v>
      </c>
      <c r="O97" s="15">
        <v>0</v>
      </c>
      <c r="P97" s="9">
        <v>100</v>
      </c>
      <c r="Q97" s="1">
        <v>14</v>
      </c>
      <c r="R97" s="10">
        <v>76</v>
      </c>
      <c r="S97" s="15" t="s">
        <v>184</v>
      </c>
    </row>
    <row r="98" spans="1:19" ht="16">
      <c r="A98" s="10" t="s">
        <v>119</v>
      </c>
      <c r="B98" s="15" t="s">
        <v>369</v>
      </c>
      <c r="C98" s="15">
        <v>1</v>
      </c>
      <c r="D98" s="10" t="s">
        <v>187</v>
      </c>
      <c r="E98" s="1" t="s">
        <v>470</v>
      </c>
      <c r="F98" s="10">
        <v>1</v>
      </c>
      <c r="G98" s="15" t="s">
        <v>281</v>
      </c>
      <c r="H98" s="34" t="s">
        <v>395</v>
      </c>
      <c r="I98" s="15">
        <v>1</v>
      </c>
      <c r="J98" s="26" t="s">
        <v>21</v>
      </c>
      <c r="K98" s="14" t="s">
        <v>380</v>
      </c>
      <c r="L98" s="15">
        <v>2</v>
      </c>
      <c r="M98" s="15" t="s">
        <v>433</v>
      </c>
      <c r="N98" s="15" t="s">
        <v>436</v>
      </c>
      <c r="O98" s="15">
        <v>0</v>
      </c>
      <c r="P98" s="9">
        <v>25</v>
      </c>
      <c r="Q98" s="1">
        <v>24</v>
      </c>
      <c r="R98" s="10">
        <v>100</v>
      </c>
      <c r="S98" s="15" t="s">
        <v>188</v>
      </c>
    </row>
    <row r="99" spans="1:19" ht="16">
      <c r="A99" s="10" t="s">
        <v>180</v>
      </c>
      <c r="B99" s="15" t="s">
        <v>378</v>
      </c>
      <c r="C99" s="15">
        <v>1</v>
      </c>
      <c r="D99" s="10" t="s">
        <v>171</v>
      </c>
      <c r="E99" s="10" t="s">
        <v>466</v>
      </c>
      <c r="F99" s="10">
        <v>1</v>
      </c>
      <c r="G99" s="15" t="s">
        <v>121</v>
      </c>
      <c r="H99" s="15" t="s">
        <v>121</v>
      </c>
      <c r="I99" s="15">
        <v>0</v>
      </c>
      <c r="J99" s="26" t="s">
        <v>21</v>
      </c>
      <c r="K99" s="14" t="s">
        <v>380</v>
      </c>
      <c r="L99" s="15">
        <v>2</v>
      </c>
      <c r="M99" s="17" t="s">
        <v>91</v>
      </c>
      <c r="N99" s="58" t="s">
        <v>562</v>
      </c>
      <c r="O99" s="15">
        <v>0</v>
      </c>
      <c r="P99" s="9">
        <v>25</v>
      </c>
      <c r="Q99" s="1">
        <v>16</v>
      </c>
      <c r="R99" s="10">
        <v>54</v>
      </c>
      <c r="S99" s="15" t="s">
        <v>189</v>
      </c>
    </row>
    <row r="100" spans="1:19" ht="16">
      <c r="A100" s="10" t="s">
        <v>190</v>
      </c>
      <c r="B100" s="15" t="s">
        <v>441</v>
      </c>
      <c r="C100" s="15">
        <v>1</v>
      </c>
      <c r="D100" s="10" t="s">
        <v>171</v>
      </c>
      <c r="E100" s="10" t="s">
        <v>466</v>
      </c>
      <c r="F100" s="10">
        <v>1</v>
      </c>
      <c r="G100" s="17" t="s">
        <v>281</v>
      </c>
      <c r="H100" s="34" t="s">
        <v>395</v>
      </c>
      <c r="I100" s="15">
        <v>1</v>
      </c>
      <c r="J100" s="26" t="s">
        <v>21</v>
      </c>
      <c r="K100" s="14" t="s">
        <v>380</v>
      </c>
      <c r="L100" s="15">
        <v>2</v>
      </c>
      <c r="M100" s="17" t="s">
        <v>91</v>
      </c>
      <c r="N100" s="58" t="s">
        <v>562</v>
      </c>
      <c r="O100" s="15">
        <v>0</v>
      </c>
      <c r="P100" s="9">
        <v>25</v>
      </c>
      <c r="Q100" s="1">
        <v>16</v>
      </c>
      <c r="R100" s="10">
        <v>57</v>
      </c>
      <c r="S100" s="15" t="s">
        <v>191</v>
      </c>
    </row>
    <row r="101" spans="1:19" ht="16">
      <c r="A101" s="10" t="s">
        <v>192</v>
      </c>
      <c r="B101" s="15" t="s">
        <v>442</v>
      </c>
      <c r="C101" s="15">
        <v>1</v>
      </c>
      <c r="D101" s="10" t="s">
        <v>171</v>
      </c>
      <c r="E101" s="10" t="s">
        <v>466</v>
      </c>
      <c r="F101" s="10">
        <v>1</v>
      </c>
      <c r="G101" s="17" t="s">
        <v>30</v>
      </c>
      <c r="H101" s="14" t="s">
        <v>391</v>
      </c>
      <c r="I101" s="15">
        <v>1.5</v>
      </c>
      <c r="J101" s="26" t="s">
        <v>21</v>
      </c>
      <c r="K101" s="14" t="s">
        <v>380</v>
      </c>
      <c r="L101" s="15">
        <v>1.5</v>
      </c>
      <c r="M101" s="17" t="s">
        <v>91</v>
      </c>
      <c r="N101" s="58" t="s">
        <v>562</v>
      </c>
      <c r="O101" s="15">
        <v>0</v>
      </c>
      <c r="P101" s="9">
        <v>25</v>
      </c>
      <c r="Q101" s="1">
        <v>16</v>
      </c>
      <c r="R101" s="10">
        <v>69</v>
      </c>
      <c r="S101" s="15" t="s">
        <v>193</v>
      </c>
    </row>
    <row r="102" spans="1:19" ht="16">
      <c r="A102" s="10" t="s">
        <v>194</v>
      </c>
      <c r="B102" s="15" t="s">
        <v>443</v>
      </c>
      <c r="C102" s="15">
        <v>1</v>
      </c>
      <c r="D102" s="10" t="s">
        <v>195</v>
      </c>
      <c r="E102" s="10" t="s">
        <v>471</v>
      </c>
      <c r="F102" s="10">
        <v>1</v>
      </c>
      <c r="G102" s="17" t="s">
        <v>30</v>
      </c>
      <c r="H102" s="14" t="s">
        <v>391</v>
      </c>
      <c r="I102" s="15">
        <v>2</v>
      </c>
      <c r="J102" s="44" t="s">
        <v>196</v>
      </c>
      <c r="K102" s="14" t="s">
        <v>381</v>
      </c>
      <c r="L102" s="15">
        <v>2</v>
      </c>
      <c r="M102" s="17" t="s">
        <v>48</v>
      </c>
      <c r="N102" s="15" t="s">
        <v>425</v>
      </c>
      <c r="O102" s="15">
        <v>0</v>
      </c>
      <c r="P102" s="9">
        <v>25</v>
      </c>
      <c r="Q102" s="1">
        <v>12</v>
      </c>
      <c r="R102" s="10">
        <v>51</v>
      </c>
      <c r="S102" s="15" t="s">
        <v>197</v>
      </c>
    </row>
    <row r="103" spans="1:19" ht="16">
      <c r="A103" s="10" t="s">
        <v>198</v>
      </c>
      <c r="B103" s="15" t="s">
        <v>444</v>
      </c>
      <c r="C103" s="15">
        <v>1</v>
      </c>
      <c r="D103" s="10" t="s">
        <v>171</v>
      </c>
      <c r="E103" s="10" t="s">
        <v>466</v>
      </c>
      <c r="F103" s="10">
        <v>1</v>
      </c>
      <c r="G103" s="15" t="s">
        <v>131</v>
      </c>
      <c r="H103" s="15" t="s">
        <v>405</v>
      </c>
      <c r="I103" s="15">
        <v>1</v>
      </c>
      <c r="J103" s="44" t="s">
        <v>196</v>
      </c>
      <c r="K103" s="14" t="s">
        <v>381</v>
      </c>
      <c r="L103" s="15">
        <v>1</v>
      </c>
      <c r="M103" s="17" t="s">
        <v>91</v>
      </c>
      <c r="N103" s="58" t="s">
        <v>562</v>
      </c>
      <c r="O103" s="15">
        <v>0</v>
      </c>
      <c r="P103" s="9">
        <v>25</v>
      </c>
      <c r="Q103" s="1">
        <v>0.5</v>
      </c>
      <c r="R103" s="10">
        <v>73</v>
      </c>
      <c r="S103" s="15" t="s">
        <v>199</v>
      </c>
    </row>
    <row r="104" spans="1:19" ht="16">
      <c r="A104" s="10" t="s">
        <v>190</v>
      </c>
      <c r="B104" s="15" t="s">
        <v>441</v>
      </c>
      <c r="C104" s="15">
        <v>1</v>
      </c>
      <c r="D104" s="10" t="s">
        <v>171</v>
      </c>
      <c r="E104" s="10" t="s">
        <v>466</v>
      </c>
      <c r="F104" s="10">
        <v>1</v>
      </c>
      <c r="G104" s="15" t="s">
        <v>59</v>
      </c>
      <c r="H104" s="14" t="s">
        <v>390</v>
      </c>
      <c r="I104" s="15">
        <v>1.5</v>
      </c>
      <c r="J104" s="26" t="s">
        <v>21</v>
      </c>
      <c r="K104" s="14" t="s">
        <v>380</v>
      </c>
      <c r="L104" s="15">
        <v>2</v>
      </c>
      <c r="M104" s="17" t="s">
        <v>91</v>
      </c>
      <c r="N104" s="58" t="s">
        <v>562</v>
      </c>
      <c r="O104" s="15">
        <v>0</v>
      </c>
      <c r="P104" s="9">
        <v>25</v>
      </c>
      <c r="Q104" s="1">
        <v>16</v>
      </c>
      <c r="R104" s="10">
        <v>57</v>
      </c>
      <c r="S104" s="15" t="s">
        <v>200</v>
      </c>
    </row>
    <row r="105" spans="1:19" ht="16">
      <c r="A105" s="10" t="s">
        <v>180</v>
      </c>
      <c r="B105" s="15" t="s">
        <v>378</v>
      </c>
      <c r="C105" s="15">
        <v>1</v>
      </c>
      <c r="D105" s="10" t="s">
        <v>171</v>
      </c>
      <c r="E105" s="10" t="s">
        <v>466</v>
      </c>
      <c r="F105" s="10">
        <v>1.5</v>
      </c>
      <c r="G105" s="15" t="s">
        <v>59</v>
      </c>
      <c r="H105" s="14" t="s">
        <v>390</v>
      </c>
      <c r="I105" s="15">
        <v>1.5</v>
      </c>
      <c r="J105" s="26" t="s">
        <v>21</v>
      </c>
      <c r="K105" s="14" t="s">
        <v>380</v>
      </c>
      <c r="L105" s="15">
        <v>3</v>
      </c>
      <c r="M105" s="17" t="s">
        <v>91</v>
      </c>
      <c r="N105" s="14" t="s">
        <v>562</v>
      </c>
      <c r="O105" s="15">
        <v>0</v>
      </c>
      <c r="P105" s="9">
        <v>25</v>
      </c>
      <c r="Q105" s="1">
        <v>16</v>
      </c>
      <c r="R105" s="10">
        <v>54</v>
      </c>
      <c r="S105" s="15" t="s">
        <v>191</v>
      </c>
    </row>
    <row r="106" spans="1:19" ht="16">
      <c r="A106" s="10" t="s">
        <v>201</v>
      </c>
      <c r="B106" s="15" t="s">
        <v>369</v>
      </c>
      <c r="C106" s="15">
        <v>1.1000000000000001</v>
      </c>
      <c r="D106" s="10" t="s">
        <v>202</v>
      </c>
      <c r="E106" s="10" t="s">
        <v>472</v>
      </c>
      <c r="F106" s="10">
        <v>1</v>
      </c>
      <c r="G106" s="15" t="s">
        <v>28</v>
      </c>
      <c r="H106" s="14" t="s">
        <v>394</v>
      </c>
      <c r="I106" s="15">
        <v>1.1000000000000001</v>
      </c>
      <c r="J106" s="10" t="s">
        <v>121</v>
      </c>
      <c r="K106" s="15" t="s">
        <v>121</v>
      </c>
      <c r="L106" s="15">
        <v>0</v>
      </c>
      <c r="M106" s="15" t="s">
        <v>121</v>
      </c>
      <c r="N106" s="15" t="s">
        <v>121</v>
      </c>
      <c r="O106" s="15">
        <v>0</v>
      </c>
      <c r="P106" s="9">
        <v>25</v>
      </c>
      <c r="Q106" s="1">
        <v>1.5</v>
      </c>
      <c r="R106" s="10">
        <v>77</v>
      </c>
      <c r="S106" s="15"/>
    </row>
    <row r="107" spans="1:19" ht="16">
      <c r="A107" s="10" t="s">
        <v>203</v>
      </c>
      <c r="B107" s="15" t="s">
        <v>445</v>
      </c>
      <c r="C107" s="15">
        <v>1.5</v>
      </c>
      <c r="D107" s="10" t="s">
        <v>204</v>
      </c>
      <c r="E107" s="10" t="s">
        <v>473</v>
      </c>
      <c r="F107" s="10">
        <v>1</v>
      </c>
      <c r="G107" s="15" t="s">
        <v>28</v>
      </c>
      <c r="H107" s="14" t="s">
        <v>394</v>
      </c>
      <c r="I107" s="15">
        <v>1.5</v>
      </c>
      <c r="J107" s="10" t="s">
        <v>121</v>
      </c>
      <c r="K107" s="15" t="s">
        <v>121</v>
      </c>
      <c r="L107" s="15">
        <v>0</v>
      </c>
      <c r="M107" s="15" t="s">
        <v>205</v>
      </c>
      <c r="N107" s="14" t="s">
        <v>423</v>
      </c>
      <c r="O107" s="15">
        <v>0</v>
      </c>
      <c r="P107" s="9">
        <v>60</v>
      </c>
      <c r="Q107" s="1">
        <v>16</v>
      </c>
      <c r="R107" s="10">
        <v>18</v>
      </c>
      <c r="S107" s="15" t="s">
        <v>206</v>
      </c>
    </row>
    <row r="108" spans="1:19" ht="16">
      <c r="A108" s="10" t="s">
        <v>207</v>
      </c>
      <c r="B108" s="15" t="s">
        <v>446</v>
      </c>
      <c r="C108" s="15">
        <v>1</v>
      </c>
      <c r="D108" s="10" t="s">
        <v>208</v>
      </c>
      <c r="E108" s="10" t="s">
        <v>474</v>
      </c>
      <c r="F108" s="10">
        <v>1</v>
      </c>
      <c r="G108" s="15" t="s">
        <v>59</v>
      </c>
      <c r="H108" s="14" t="s">
        <v>390</v>
      </c>
      <c r="I108" s="15">
        <v>1</v>
      </c>
      <c r="J108" s="10" t="s">
        <v>121</v>
      </c>
      <c r="K108" s="15" t="s">
        <v>121</v>
      </c>
      <c r="L108" s="15">
        <v>0</v>
      </c>
      <c r="M108" s="15" t="s">
        <v>427</v>
      </c>
      <c r="N108" s="15" t="s">
        <v>425</v>
      </c>
      <c r="O108" s="15">
        <v>0</v>
      </c>
      <c r="P108" s="9">
        <v>25</v>
      </c>
      <c r="Q108" s="1">
        <v>0.5</v>
      </c>
      <c r="R108" s="10">
        <v>54</v>
      </c>
      <c r="S108" s="15" t="s">
        <v>209</v>
      </c>
    </row>
    <row r="109" spans="1:19" ht="16">
      <c r="A109" s="10" t="s">
        <v>119</v>
      </c>
      <c r="B109" s="15" t="s">
        <v>369</v>
      </c>
      <c r="C109" s="15">
        <v>1.5</v>
      </c>
      <c r="D109" s="10" t="s">
        <v>210</v>
      </c>
      <c r="E109" s="10" t="s">
        <v>475</v>
      </c>
      <c r="F109" s="10">
        <v>1</v>
      </c>
      <c r="G109" s="15" t="s">
        <v>28</v>
      </c>
      <c r="H109" s="14" t="s">
        <v>394</v>
      </c>
      <c r="I109" s="15">
        <v>1.5</v>
      </c>
      <c r="J109" s="10" t="s">
        <v>121</v>
      </c>
      <c r="K109" s="15" t="s">
        <v>121</v>
      </c>
      <c r="L109" s="15">
        <v>0</v>
      </c>
      <c r="M109" s="15" t="s">
        <v>121</v>
      </c>
      <c r="N109" s="15" t="s">
        <v>121</v>
      </c>
      <c r="O109" s="15">
        <v>0</v>
      </c>
      <c r="P109" s="9">
        <v>25</v>
      </c>
      <c r="Q109" s="1">
        <v>8.3000000000000004E-2</v>
      </c>
      <c r="R109" s="10">
        <v>96</v>
      </c>
      <c r="S109" s="15" t="s">
        <v>211</v>
      </c>
    </row>
    <row r="110" spans="1:19" ht="16">
      <c r="A110" s="10" t="s">
        <v>373</v>
      </c>
      <c r="B110" s="15" t="s">
        <v>447</v>
      </c>
      <c r="C110" s="15">
        <v>1.4</v>
      </c>
      <c r="D110" s="10" t="s">
        <v>120</v>
      </c>
      <c r="E110" s="10" t="s">
        <v>457</v>
      </c>
      <c r="F110" s="10">
        <v>1</v>
      </c>
      <c r="G110" s="15" t="s">
        <v>59</v>
      </c>
      <c r="H110" s="14" t="s">
        <v>390</v>
      </c>
      <c r="I110" s="15">
        <v>1.4</v>
      </c>
      <c r="J110" s="10" t="s">
        <v>121</v>
      </c>
      <c r="K110" s="15" t="s">
        <v>121</v>
      </c>
      <c r="L110" s="15">
        <v>0</v>
      </c>
      <c r="M110" s="15" t="s">
        <v>121</v>
      </c>
      <c r="N110" s="15" t="s">
        <v>121</v>
      </c>
      <c r="O110" s="15">
        <v>0</v>
      </c>
      <c r="P110" s="9">
        <v>50</v>
      </c>
      <c r="Q110" s="1">
        <v>0.5</v>
      </c>
      <c r="R110" s="10">
        <v>81</v>
      </c>
      <c r="S110" s="15"/>
    </row>
    <row r="111" spans="1:19" ht="16">
      <c r="A111" s="10" t="s">
        <v>119</v>
      </c>
      <c r="B111" s="15" t="s">
        <v>369</v>
      </c>
      <c r="C111" s="15">
        <v>1</v>
      </c>
      <c r="D111" s="10" t="s">
        <v>212</v>
      </c>
      <c r="E111" s="10" t="s">
        <v>476</v>
      </c>
      <c r="F111" s="10">
        <v>1</v>
      </c>
      <c r="G111" s="15" t="s">
        <v>59</v>
      </c>
      <c r="H111" s="14" t="s">
        <v>390</v>
      </c>
      <c r="I111" s="15">
        <v>1</v>
      </c>
      <c r="J111" s="10" t="s">
        <v>121</v>
      </c>
      <c r="K111" s="15" t="s">
        <v>121</v>
      </c>
      <c r="L111" s="15">
        <v>0</v>
      </c>
      <c r="M111" s="15" t="s">
        <v>121</v>
      </c>
      <c r="N111" s="15" t="s">
        <v>121</v>
      </c>
      <c r="O111" s="15">
        <v>0</v>
      </c>
      <c r="P111" s="9">
        <v>25</v>
      </c>
      <c r="Q111" s="1">
        <v>0.16700000000000001</v>
      </c>
      <c r="R111" s="10">
        <v>97</v>
      </c>
      <c r="S111" s="15"/>
    </row>
    <row r="112" spans="1:19" ht="16">
      <c r="A112" s="10" t="s">
        <v>374</v>
      </c>
      <c r="B112" s="15" t="s">
        <v>448</v>
      </c>
      <c r="C112" s="15">
        <v>1.1000000000000001</v>
      </c>
      <c r="D112" s="10" t="s">
        <v>171</v>
      </c>
      <c r="E112" s="10" t="s">
        <v>466</v>
      </c>
      <c r="F112" s="10">
        <v>1</v>
      </c>
      <c r="G112" s="15" t="s">
        <v>59</v>
      </c>
      <c r="H112" s="14" t="s">
        <v>390</v>
      </c>
      <c r="I112" s="15">
        <v>1.1000000000000001</v>
      </c>
      <c r="J112" s="10" t="s">
        <v>121</v>
      </c>
      <c r="K112" s="15" t="s">
        <v>121</v>
      </c>
      <c r="L112" s="15">
        <v>0</v>
      </c>
      <c r="M112" s="15" t="s">
        <v>16</v>
      </c>
      <c r="N112" s="58" t="s">
        <v>562</v>
      </c>
      <c r="O112" s="15">
        <v>0</v>
      </c>
      <c r="P112" s="9">
        <v>25</v>
      </c>
      <c r="Q112" s="1">
        <v>12</v>
      </c>
      <c r="R112" s="10">
        <v>90</v>
      </c>
      <c r="S112" s="15" t="s">
        <v>213</v>
      </c>
    </row>
    <row r="113" spans="1:19" ht="16">
      <c r="A113" s="63" t="s">
        <v>214</v>
      </c>
      <c r="B113" s="62" t="s">
        <v>449</v>
      </c>
      <c r="C113" s="62">
        <v>1.5</v>
      </c>
      <c r="D113" s="63" t="s">
        <v>171</v>
      </c>
      <c r="E113" s="63" t="s">
        <v>466</v>
      </c>
      <c r="F113" s="63">
        <v>1</v>
      </c>
      <c r="G113" s="62" t="s">
        <v>121</v>
      </c>
      <c r="H113" s="62" t="s">
        <v>121</v>
      </c>
      <c r="I113" s="62">
        <v>0</v>
      </c>
      <c r="J113" s="63" t="s">
        <v>121</v>
      </c>
      <c r="K113" s="62" t="s">
        <v>121</v>
      </c>
      <c r="L113" s="62">
        <v>0</v>
      </c>
      <c r="M113" s="74" t="s">
        <v>215</v>
      </c>
      <c r="N113" s="62" t="s">
        <v>574</v>
      </c>
      <c r="O113" s="62">
        <v>0</v>
      </c>
      <c r="P113" s="66">
        <v>80</v>
      </c>
      <c r="Q113" s="67">
        <v>18</v>
      </c>
      <c r="R113" s="63">
        <v>91</v>
      </c>
      <c r="S113" s="62" t="s">
        <v>216</v>
      </c>
    </row>
    <row r="114" spans="1:19" ht="16">
      <c r="A114" s="10" t="s">
        <v>119</v>
      </c>
      <c r="B114" s="15" t="s">
        <v>369</v>
      </c>
      <c r="C114" s="15">
        <v>1</v>
      </c>
      <c r="D114" s="26" t="s">
        <v>307</v>
      </c>
      <c r="E114" s="10" t="s">
        <v>492</v>
      </c>
      <c r="F114" s="10">
        <v>1.5</v>
      </c>
      <c r="G114" s="15" t="s">
        <v>218</v>
      </c>
      <c r="H114" s="15" t="s">
        <v>415</v>
      </c>
      <c r="I114" s="15">
        <v>0.1</v>
      </c>
      <c r="J114" s="10" t="s">
        <v>121</v>
      </c>
      <c r="K114" s="15" t="s">
        <v>121</v>
      </c>
      <c r="L114" s="15">
        <v>0</v>
      </c>
      <c r="M114" s="17" t="s">
        <v>22</v>
      </c>
      <c r="N114" s="58" t="s">
        <v>563</v>
      </c>
      <c r="O114" s="15">
        <v>0.5</v>
      </c>
      <c r="P114" s="9">
        <v>110</v>
      </c>
      <c r="Q114" s="1">
        <v>24</v>
      </c>
      <c r="R114" s="10">
        <v>48</v>
      </c>
      <c r="S114" s="15" t="s">
        <v>219</v>
      </c>
    </row>
    <row r="115" spans="1:19" ht="16">
      <c r="A115" s="10" t="s">
        <v>220</v>
      </c>
      <c r="B115" s="15" t="s">
        <v>450</v>
      </c>
      <c r="C115" s="15">
        <v>1</v>
      </c>
      <c r="D115" s="10" t="s">
        <v>221</v>
      </c>
      <c r="E115" s="10" t="s">
        <v>382</v>
      </c>
      <c r="F115" s="10">
        <v>1.5</v>
      </c>
      <c r="G115" s="15" t="s">
        <v>218</v>
      </c>
      <c r="H115" s="15" t="s">
        <v>415</v>
      </c>
      <c r="I115" s="15">
        <v>0.1</v>
      </c>
      <c r="J115" s="10" t="s">
        <v>121</v>
      </c>
      <c r="K115" s="15" t="s">
        <v>121</v>
      </c>
      <c r="L115" s="15">
        <v>0</v>
      </c>
      <c r="M115" s="17" t="s">
        <v>22</v>
      </c>
      <c r="N115" s="58" t="s">
        <v>563</v>
      </c>
      <c r="O115" s="15">
        <v>0.5</v>
      </c>
      <c r="P115" s="9">
        <v>110</v>
      </c>
      <c r="Q115" s="1">
        <v>24</v>
      </c>
      <c r="R115" s="10">
        <v>72</v>
      </c>
      <c r="S115" s="15" t="s">
        <v>219</v>
      </c>
    </row>
    <row r="116" spans="1:19" ht="16">
      <c r="A116" s="10" t="s">
        <v>222</v>
      </c>
      <c r="B116" s="15" t="s">
        <v>451</v>
      </c>
      <c r="C116" s="15">
        <v>1</v>
      </c>
      <c r="D116" s="10" t="s">
        <v>120</v>
      </c>
      <c r="E116" s="10" t="s">
        <v>457</v>
      </c>
      <c r="F116" s="10">
        <v>1.5</v>
      </c>
      <c r="G116" s="15" t="s">
        <v>218</v>
      </c>
      <c r="H116" s="15" t="s">
        <v>415</v>
      </c>
      <c r="I116" s="15">
        <v>0.1</v>
      </c>
      <c r="J116" s="10" t="s">
        <v>121</v>
      </c>
      <c r="K116" s="15" t="s">
        <v>121</v>
      </c>
      <c r="L116" s="15">
        <v>0</v>
      </c>
      <c r="M116" s="17" t="s">
        <v>22</v>
      </c>
      <c r="N116" s="58" t="s">
        <v>563</v>
      </c>
      <c r="O116" s="15">
        <v>0.5</v>
      </c>
      <c r="P116" s="9">
        <v>110</v>
      </c>
      <c r="Q116" s="1">
        <v>24</v>
      </c>
      <c r="R116" s="10">
        <v>66</v>
      </c>
      <c r="S116" s="15" t="s">
        <v>219</v>
      </c>
    </row>
    <row r="117" spans="1:19" ht="16">
      <c r="A117" s="10" t="s">
        <v>223</v>
      </c>
      <c r="B117" s="15" t="s">
        <v>452</v>
      </c>
      <c r="C117" s="15">
        <v>1</v>
      </c>
      <c r="D117" s="10" t="s">
        <v>120</v>
      </c>
      <c r="E117" s="10" t="s">
        <v>457</v>
      </c>
      <c r="F117" s="10">
        <v>1.5</v>
      </c>
      <c r="G117" s="15" t="s">
        <v>218</v>
      </c>
      <c r="H117" s="15" t="s">
        <v>415</v>
      </c>
      <c r="I117" s="15">
        <v>0.1</v>
      </c>
      <c r="J117" s="10" t="s">
        <v>121</v>
      </c>
      <c r="K117" s="15" t="s">
        <v>121</v>
      </c>
      <c r="L117" s="15">
        <v>0</v>
      </c>
      <c r="M117" s="17" t="s">
        <v>22</v>
      </c>
      <c r="N117" s="58" t="s">
        <v>563</v>
      </c>
      <c r="O117" s="15">
        <v>0.5</v>
      </c>
      <c r="P117" s="9">
        <v>110</v>
      </c>
      <c r="Q117" s="1">
        <v>24</v>
      </c>
      <c r="R117" s="10">
        <v>88</v>
      </c>
      <c r="S117" s="15" t="s">
        <v>219</v>
      </c>
    </row>
    <row r="118" spans="1:19" ht="16">
      <c r="A118" s="10" t="s">
        <v>119</v>
      </c>
      <c r="B118" s="15" t="s">
        <v>369</v>
      </c>
      <c r="C118" s="15">
        <v>1</v>
      </c>
      <c r="D118" s="10" t="s">
        <v>224</v>
      </c>
      <c r="E118" s="10" t="s">
        <v>493</v>
      </c>
      <c r="F118" s="10">
        <v>1.5</v>
      </c>
      <c r="G118" s="15" t="s">
        <v>218</v>
      </c>
      <c r="H118" s="15" t="s">
        <v>415</v>
      </c>
      <c r="I118" s="15">
        <v>0.1</v>
      </c>
      <c r="J118" s="10" t="s">
        <v>121</v>
      </c>
      <c r="K118" s="15" t="s">
        <v>121</v>
      </c>
      <c r="L118" s="15">
        <v>0</v>
      </c>
      <c r="M118" s="17" t="s">
        <v>22</v>
      </c>
      <c r="N118" s="58" t="s">
        <v>563</v>
      </c>
      <c r="O118" s="15">
        <v>0.5</v>
      </c>
      <c r="P118" s="9">
        <v>110</v>
      </c>
      <c r="Q118" s="1">
        <v>24</v>
      </c>
      <c r="R118" s="10">
        <v>56</v>
      </c>
      <c r="S118" s="15" t="s">
        <v>219</v>
      </c>
    </row>
    <row r="119" spans="1:19" ht="16">
      <c r="A119" s="10" t="s">
        <v>119</v>
      </c>
      <c r="B119" s="15" t="s">
        <v>369</v>
      </c>
      <c r="C119" s="15">
        <v>1</v>
      </c>
      <c r="D119" s="10" t="s">
        <v>225</v>
      </c>
      <c r="E119" s="10" t="s">
        <v>477</v>
      </c>
      <c r="F119" s="10">
        <v>1</v>
      </c>
      <c r="G119" s="15" t="s">
        <v>121</v>
      </c>
      <c r="H119" s="15" t="s">
        <v>121</v>
      </c>
      <c r="I119" s="15">
        <v>0</v>
      </c>
      <c r="J119" s="10" t="s">
        <v>162</v>
      </c>
      <c r="K119" s="15" t="s">
        <v>384</v>
      </c>
      <c r="L119" s="15">
        <v>3</v>
      </c>
      <c r="M119" s="15" t="s">
        <v>153</v>
      </c>
      <c r="N119" s="15" t="s">
        <v>430</v>
      </c>
      <c r="O119" s="15">
        <v>0.25</v>
      </c>
      <c r="P119" s="9">
        <v>130</v>
      </c>
      <c r="Q119" s="1">
        <v>20</v>
      </c>
      <c r="R119" s="10">
        <v>85</v>
      </c>
      <c r="S119" s="15" t="s">
        <v>226</v>
      </c>
    </row>
    <row r="120" spans="1:19" ht="16">
      <c r="A120" s="10" t="s">
        <v>227</v>
      </c>
      <c r="B120" s="15" t="s">
        <v>453</v>
      </c>
      <c r="C120" s="15">
        <v>1</v>
      </c>
      <c r="D120" s="10" t="s">
        <v>225</v>
      </c>
      <c r="E120" s="10" t="s">
        <v>477</v>
      </c>
      <c r="F120" s="10">
        <v>1</v>
      </c>
      <c r="G120" s="15" t="s">
        <v>121</v>
      </c>
      <c r="H120" s="15" t="s">
        <v>121</v>
      </c>
      <c r="I120" s="15">
        <v>0</v>
      </c>
      <c r="J120" s="10" t="s">
        <v>162</v>
      </c>
      <c r="K120" s="15" t="s">
        <v>384</v>
      </c>
      <c r="L120" s="15">
        <v>3</v>
      </c>
      <c r="M120" s="15" t="s">
        <v>153</v>
      </c>
      <c r="N120" s="15" t="s">
        <v>430</v>
      </c>
      <c r="O120" s="15">
        <v>0.25</v>
      </c>
      <c r="P120" s="9">
        <v>130</v>
      </c>
      <c r="Q120" s="1">
        <v>20</v>
      </c>
      <c r="R120" s="10">
        <v>89</v>
      </c>
      <c r="S120" s="15" t="s">
        <v>226</v>
      </c>
    </row>
    <row r="121" spans="1:19" ht="16">
      <c r="A121" s="10" t="s">
        <v>228</v>
      </c>
      <c r="B121" s="15" t="s">
        <v>454</v>
      </c>
      <c r="C121" s="15">
        <v>1</v>
      </c>
      <c r="D121" s="10" t="s">
        <v>225</v>
      </c>
      <c r="E121" s="10" t="s">
        <v>477</v>
      </c>
      <c r="F121" s="10">
        <v>1</v>
      </c>
      <c r="G121" s="15" t="s">
        <v>121</v>
      </c>
      <c r="H121" s="15" t="s">
        <v>121</v>
      </c>
      <c r="I121" s="15">
        <v>0</v>
      </c>
      <c r="J121" s="10" t="s">
        <v>162</v>
      </c>
      <c r="K121" s="15" t="s">
        <v>384</v>
      </c>
      <c r="L121" s="15">
        <v>3</v>
      </c>
      <c r="M121" s="15" t="s">
        <v>153</v>
      </c>
      <c r="N121" s="15" t="s">
        <v>430</v>
      </c>
      <c r="O121" s="15">
        <v>0.25</v>
      </c>
      <c r="P121" s="9">
        <v>130</v>
      </c>
      <c r="Q121" s="1">
        <v>20</v>
      </c>
      <c r="R121" s="10">
        <v>40</v>
      </c>
      <c r="S121" s="15" t="s">
        <v>226</v>
      </c>
    </row>
    <row r="122" spans="1:19" ht="16">
      <c r="A122" s="10" t="s">
        <v>229</v>
      </c>
      <c r="B122" s="15" t="s">
        <v>486</v>
      </c>
      <c r="C122" s="15">
        <v>1</v>
      </c>
      <c r="D122" s="10" t="s">
        <v>225</v>
      </c>
      <c r="E122" s="10" t="s">
        <v>477</v>
      </c>
      <c r="F122" s="10">
        <v>1</v>
      </c>
      <c r="G122" s="15" t="s">
        <v>121</v>
      </c>
      <c r="H122" s="15" t="s">
        <v>121</v>
      </c>
      <c r="I122" s="15">
        <v>0</v>
      </c>
      <c r="J122" s="10" t="s">
        <v>162</v>
      </c>
      <c r="K122" s="15" t="s">
        <v>384</v>
      </c>
      <c r="L122" s="15">
        <v>3</v>
      </c>
      <c r="M122" s="15" t="s">
        <v>153</v>
      </c>
      <c r="N122" s="15" t="s">
        <v>430</v>
      </c>
      <c r="O122" s="15">
        <v>0.25</v>
      </c>
      <c r="P122" s="9">
        <v>130</v>
      </c>
      <c r="Q122" s="1">
        <v>20</v>
      </c>
      <c r="R122" s="10">
        <v>61</v>
      </c>
      <c r="S122" s="15" t="s">
        <v>226</v>
      </c>
    </row>
    <row r="123" spans="1:19" ht="16">
      <c r="A123" s="10" t="s">
        <v>230</v>
      </c>
      <c r="B123" s="15" t="s">
        <v>487</v>
      </c>
      <c r="C123" s="15">
        <v>1</v>
      </c>
      <c r="D123" s="10" t="s">
        <v>225</v>
      </c>
      <c r="E123" s="10" t="s">
        <v>477</v>
      </c>
      <c r="F123" s="10">
        <v>1</v>
      </c>
      <c r="G123" s="15" t="s">
        <v>121</v>
      </c>
      <c r="H123" s="15" t="s">
        <v>121</v>
      </c>
      <c r="I123" s="15">
        <v>0</v>
      </c>
      <c r="J123" s="10" t="s">
        <v>162</v>
      </c>
      <c r="K123" s="15" t="s">
        <v>384</v>
      </c>
      <c r="L123" s="15">
        <v>3</v>
      </c>
      <c r="M123" s="15" t="s">
        <v>153</v>
      </c>
      <c r="N123" s="15" t="s">
        <v>430</v>
      </c>
      <c r="O123" s="15">
        <v>0.25</v>
      </c>
      <c r="P123" s="9">
        <v>130</v>
      </c>
      <c r="Q123" s="1">
        <v>20</v>
      </c>
      <c r="R123" s="10">
        <v>28</v>
      </c>
      <c r="S123" s="15" t="s">
        <v>226</v>
      </c>
    </row>
    <row r="124" spans="1:19" ht="16">
      <c r="A124" s="10" t="s">
        <v>231</v>
      </c>
      <c r="B124" s="15" t="s">
        <v>488</v>
      </c>
      <c r="C124" s="15">
        <v>1</v>
      </c>
      <c r="D124" s="10" t="s">
        <v>120</v>
      </c>
      <c r="E124" s="55" t="s">
        <v>457</v>
      </c>
      <c r="F124" s="10">
        <v>0.5</v>
      </c>
      <c r="G124" s="15" t="s">
        <v>232</v>
      </c>
      <c r="H124" s="15" t="s">
        <v>416</v>
      </c>
      <c r="I124" s="15">
        <v>0.01</v>
      </c>
      <c r="J124" s="10" t="s">
        <v>121</v>
      </c>
      <c r="K124" s="15" t="s">
        <v>121</v>
      </c>
      <c r="L124" s="15">
        <v>0</v>
      </c>
      <c r="M124" s="15" t="s">
        <v>233</v>
      </c>
      <c r="N124" s="15" t="s">
        <v>431</v>
      </c>
      <c r="O124" s="15">
        <v>0.6</v>
      </c>
      <c r="P124" s="9">
        <v>140</v>
      </c>
      <c r="Q124" s="1">
        <v>12</v>
      </c>
      <c r="R124" s="10">
        <v>86</v>
      </c>
      <c r="S124" s="15" t="s">
        <v>234</v>
      </c>
    </row>
    <row r="125" spans="1:19" ht="16">
      <c r="A125" s="10" t="s">
        <v>235</v>
      </c>
      <c r="B125" s="33" t="s">
        <v>489</v>
      </c>
      <c r="C125" s="15">
        <v>1</v>
      </c>
      <c r="D125" s="10" t="s">
        <v>120</v>
      </c>
      <c r="E125" s="55" t="s">
        <v>457</v>
      </c>
      <c r="F125" s="10">
        <v>0.5</v>
      </c>
      <c r="G125" s="15" t="s">
        <v>232</v>
      </c>
      <c r="H125" s="15" t="s">
        <v>416</v>
      </c>
      <c r="I125" s="15">
        <v>0.1</v>
      </c>
      <c r="J125" s="10" t="s">
        <v>121</v>
      </c>
      <c r="K125" s="15" t="s">
        <v>121</v>
      </c>
      <c r="L125" s="15">
        <v>0</v>
      </c>
      <c r="M125" s="15" t="s">
        <v>233</v>
      </c>
      <c r="N125" s="15" t="s">
        <v>431</v>
      </c>
      <c r="O125" s="15">
        <v>0.6</v>
      </c>
      <c r="P125" s="9">
        <v>140</v>
      </c>
      <c r="Q125" s="1">
        <v>12</v>
      </c>
      <c r="R125" s="10">
        <v>89</v>
      </c>
      <c r="S125" s="15" t="s">
        <v>234</v>
      </c>
    </row>
    <row r="126" spans="1:19" ht="16">
      <c r="A126" s="10" t="s">
        <v>236</v>
      </c>
      <c r="B126" s="33" t="s">
        <v>371</v>
      </c>
      <c r="C126" s="15">
        <v>1</v>
      </c>
      <c r="D126" s="10" t="s">
        <v>120</v>
      </c>
      <c r="E126" s="55" t="s">
        <v>457</v>
      </c>
      <c r="F126" s="10">
        <v>0.5</v>
      </c>
      <c r="G126" s="15" t="s">
        <v>232</v>
      </c>
      <c r="H126" s="15" t="s">
        <v>416</v>
      </c>
      <c r="I126" s="15">
        <v>0.01</v>
      </c>
      <c r="J126" s="10" t="s">
        <v>121</v>
      </c>
      <c r="K126" s="15" t="s">
        <v>121</v>
      </c>
      <c r="L126" s="15">
        <v>0</v>
      </c>
      <c r="M126" s="15" t="s">
        <v>233</v>
      </c>
      <c r="N126" s="15" t="s">
        <v>431</v>
      </c>
      <c r="O126" s="15">
        <v>0.6</v>
      </c>
      <c r="P126" s="9">
        <v>140</v>
      </c>
      <c r="Q126" s="1">
        <v>12</v>
      </c>
      <c r="R126" s="10">
        <v>99</v>
      </c>
      <c r="S126" s="15" t="s">
        <v>234</v>
      </c>
    </row>
    <row r="127" spans="1:19" ht="16">
      <c r="A127" s="10" t="s">
        <v>237</v>
      </c>
      <c r="B127" s="33" t="s">
        <v>490</v>
      </c>
      <c r="C127" s="15">
        <v>1</v>
      </c>
      <c r="D127" s="10" t="s">
        <v>120</v>
      </c>
      <c r="E127" s="55" t="s">
        <v>457</v>
      </c>
      <c r="F127" s="10">
        <v>0.5</v>
      </c>
      <c r="G127" s="15" t="s">
        <v>232</v>
      </c>
      <c r="H127" s="15" t="s">
        <v>416</v>
      </c>
      <c r="I127" s="15">
        <v>0.01</v>
      </c>
      <c r="J127" s="10" t="s">
        <v>121</v>
      </c>
      <c r="K127" s="15" t="s">
        <v>121</v>
      </c>
      <c r="L127" s="15">
        <v>0</v>
      </c>
      <c r="M127" s="15" t="s">
        <v>233</v>
      </c>
      <c r="N127" s="15" t="s">
        <v>431</v>
      </c>
      <c r="O127" s="15">
        <v>0.6</v>
      </c>
      <c r="P127" s="9">
        <v>140</v>
      </c>
      <c r="Q127" s="1">
        <v>12</v>
      </c>
      <c r="R127" s="10">
        <v>95</v>
      </c>
      <c r="S127" s="15" t="s">
        <v>234</v>
      </c>
    </row>
    <row r="128" spans="1:19" ht="16">
      <c r="A128" s="10" t="s">
        <v>238</v>
      </c>
      <c r="B128" s="33" t="s">
        <v>491</v>
      </c>
      <c r="C128" s="15">
        <v>1</v>
      </c>
      <c r="D128" s="10" t="s">
        <v>120</v>
      </c>
      <c r="E128" s="55" t="s">
        <v>457</v>
      </c>
      <c r="F128" s="10">
        <v>0.5</v>
      </c>
      <c r="G128" s="15" t="s">
        <v>232</v>
      </c>
      <c r="H128" s="15" t="s">
        <v>416</v>
      </c>
      <c r="I128" s="15">
        <v>0.1</v>
      </c>
      <c r="J128" s="10" t="s">
        <v>121</v>
      </c>
      <c r="K128" s="15" t="s">
        <v>121</v>
      </c>
      <c r="L128" s="15">
        <v>0</v>
      </c>
      <c r="M128" s="15" t="s">
        <v>233</v>
      </c>
      <c r="N128" s="15" t="s">
        <v>431</v>
      </c>
      <c r="O128" s="15">
        <v>0.6</v>
      </c>
      <c r="P128" s="9">
        <v>140</v>
      </c>
      <c r="Q128" s="1">
        <v>12</v>
      </c>
      <c r="R128" s="10">
        <v>80</v>
      </c>
      <c r="S128" s="15" t="s">
        <v>234</v>
      </c>
    </row>
    <row r="129" spans="1:19" ht="16">
      <c r="A129" s="10" t="s">
        <v>119</v>
      </c>
      <c r="B129" s="15" t="s">
        <v>369</v>
      </c>
      <c r="C129" s="15">
        <v>1</v>
      </c>
      <c r="D129" s="10" t="s">
        <v>239</v>
      </c>
      <c r="E129" s="10" t="s">
        <v>494</v>
      </c>
      <c r="F129" s="10">
        <v>1</v>
      </c>
      <c r="G129" s="15" t="s">
        <v>15</v>
      </c>
      <c r="H129" s="15" t="s">
        <v>392</v>
      </c>
      <c r="I129" s="15">
        <v>1.28</v>
      </c>
      <c r="J129" s="10" t="s">
        <v>162</v>
      </c>
      <c r="K129" s="15" t="s">
        <v>384</v>
      </c>
      <c r="L129" s="15">
        <v>2</v>
      </c>
      <c r="M129" s="15" t="s">
        <v>240</v>
      </c>
      <c r="N129" s="14" t="s">
        <v>437</v>
      </c>
      <c r="O129" s="15">
        <v>0.5</v>
      </c>
      <c r="P129" s="9">
        <v>60</v>
      </c>
      <c r="Q129" s="1">
        <v>0.17</v>
      </c>
      <c r="R129" s="10">
        <v>93</v>
      </c>
      <c r="S129" s="15" t="s">
        <v>241</v>
      </c>
    </row>
    <row r="130" spans="1:19" ht="16">
      <c r="A130" s="10" t="s">
        <v>242</v>
      </c>
      <c r="B130" s="33" t="s">
        <v>518</v>
      </c>
      <c r="C130" s="15">
        <v>1</v>
      </c>
      <c r="D130" s="10" t="s">
        <v>243</v>
      </c>
      <c r="E130" s="10" t="s">
        <v>495</v>
      </c>
      <c r="F130" s="10">
        <v>1</v>
      </c>
      <c r="G130" s="15" t="s">
        <v>15</v>
      </c>
      <c r="H130" s="15" t="s">
        <v>392</v>
      </c>
      <c r="I130" s="15">
        <v>1.28</v>
      </c>
      <c r="J130" s="10" t="s">
        <v>162</v>
      </c>
      <c r="K130" s="15" t="s">
        <v>384</v>
      </c>
      <c r="L130" s="15">
        <v>2</v>
      </c>
      <c r="M130" s="15" t="s">
        <v>240</v>
      </c>
      <c r="N130" s="14" t="s">
        <v>437</v>
      </c>
      <c r="O130" s="15">
        <v>0.5</v>
      </c>
      <c r="P130" s="9">
        <v>60</v>
      </c>
      <c r="Q130" s="1">
        <v>0.17</v>
      </c>
      <c r="R130" s="10">
        <v>89</v>
      </c>
      <c r="S130" s="15" t="s">
        <v>241</v>
      </c>
    </row>
    <row r="131" spans="1:19" ht="18">
      <c r="A131" s="10" t="s">
        <v>244</v>
      </c>
      <c r="B131" s="33" t="s">
        <v>520</v>
      </c>
      <c r="C131" s="15">
        <v>1</v>
      </c>
      <c r="D131" s="10" t="s">
        <v>245</v>
      </c>
      <c r="E131" s="10" t="s">
        <v>496</v>
      </c>
      <c r="F131" s="10">
        <v>1</v>
      </c>
      <c r="G131" s="15" t="s">
        <v>15</v>
      </c>
      <c r="H131" s="15" t="s">
        <v>392</v>
      </c>
      <c r="I131" s="15">
        <v>1.28</v>
      </c>
      <c r="J131" s="10" t="s">
        <v>162</v>
      </c>
      <c r="K131" s="15" t="s">
        <v>384</v>
      </c>
      <c r="L131" s="15">
        <v>2</v>
      </c>
      <c r="M131" s="15" t="s">
        <v>240</v>
      </c>
      <c r="N131" s="14" t="s">
        <v>437</v>
      </c>
      <c r="O131" s="15">
        <v>0.5</v>
      </c>
      <c r="P131" s="9">
        <v>60</v>
      </c>
      <c r="Q131" s="1">
        <v>0.5</v>
      </c>
      <c r="R131" s="10">
        <v>85</v>
      </c>
      <c r="S131" s="15" t="s">
        <v>241</v>
      </c>
    </row>
    <row r="132" spans="1:19" ht="16">
      <c r="A132" s="10" t="s">
        <v>246</v>
      </c>
      <c r="B132" s="33" t="s">
        <v>519</v>
      </c>
      <c r="C132" s="15">
        <v>1</v>
      </c>
      <c r="D132" s="10" t="s">
        <v>247</v>
      </c>
      <c r="E132" s="10" t="s">
        <v>466</v>
      </c>
      <c r="F132" s="10">
        <v>1</v>
      </c>
      <c r="G132" s="15" t="s">
        <v>15</v>
      </c>
      <c r="H132" s="15" t="s">
        <v>392</v>
      </c>
      <c r="I132" s="15">
        <v>1.28</v>
      </c>
      <c r="J132" s="10" t="s">
        <v>162</v>
      </c>
      <c r="K132" s="15" t="s">
        <v>384</v>
      </c>
      <c r="L132" s="15">
        <v>2</v>
      </c>
      <c r="M132" s="15" t="s">
        <v>240</v>
      </c>
      <c r="N132" s="14" t="s">
        <v>437</v>
      </c>
      <c r="O132" s="15">
        <v>0.5</v>
      </c>
      <c r="P132" s="9">
        <v>60</v>
      </c>
      <c r="Q132" s="1">
        <v>0.66</v>
      </c>
      <c r="R132" s="10">
        <v>92</v>
      </c>
      <c r="S132" s="15" t="s">
        <v>241</v>
      </c>
    </row>
    <row r="133" spans="1:19" ht="16">
      <c r="A133" s="10" t="s">
        <v>248</v>
      </c>
      <c r="B133" s="33" t="s">
        <v>521</v>
      </c>
      <c r="C133" s="15">
        <v>1</v>
      </c>
      <c r="D133" s="10" t="s">
        <v>249</v>
      </c>
      <c r="E133" s="10" t="s">
        <v>497</v>
      </c>
      <c r="F133" s="10">
        <v>1</v>
      </c>
      <c r="G133" s="15" t="s">
        <v>15</v>
      </c>
      <c r="H133" s="15" t="s">
        <v>392</v>
      </c>
      <c r="I133" s="15">
        <v>1.28</v>
      </c>
      <c r="J133" s="10" t="s">
        <v>162</v>
      </c>
      <c r="K133" s="15" t="s">
        <v>384</v>
      </c>
      <c r="L133" s="15">
        <v>2</v>
      </c>
      <c r="M133" s="15" t="s">
        <v>240</v>
      </c>
      <c r="N133" s="14" t="s">
        <v>437</v>
      </c>
      <c r="O133" s="15">
        <v>0.5</v>
      </c>
      <c r="P133" s="9">
        <v>60</v>
      </c>
      <c r="Q133" s="1">
        <v>0.5</v>
      </c>
      <c r="R133" s="10">
        <v>84</v>
      </c>
      <c r="S133" s="15" t="s">
        <v>241</v>
      </c>
    </row>
    <row r="134" spans="1:19" ht="16">
      <c r="A134" s="10" t="s">
        <v>250</v>
      </c>
      <c r="B134" s="33" t="s">
        <v>522</v>
      </c>
      <c r="C134" s="15">
        <v>1</v>
      </c>
      <c r="D134" s="10" t="s">
        <v>251</v>
      </c>
      <c r="E134" s="10" t="s">
        <v>498</v>
      </c>
      <c r="F134" s="10">
        <v>1</v>
      </c>
      <c r="G134" s="15" t="s">
        <v>252</v>
      </c>
      <c r="H134" s="15" t="s">
        <v>417</v>
      </c>
      <c r="I134" s="15">
        <v>1</v>
      </c>
      <c r="J134" s="10" t="s">
        <v>121</v>
      </c>
      <c r="K134" s="15" t="s">
        <v>121</v>
      </c>
      <c r="L134" s="15">
        <v>0</v>
      </c>
      <c r="M134" s="17" t="s">
        <v>48</v>
      </c>
      <c r="N134" s="15" t="s">
        <v>425</v>
      </c>
      <c r="O134" s="15">
        <v>1</v>
      </c>
      <c r="P134" s="9">
        <v>80</v>
      </c>
      <c r="Q134" s="1">
        <v>8</v>
      </c>
      <c r="R134" s="10">
        <v>50</v>
      </c>
      <c r="S134" s="15" t="s">
        <v>253</v>
      </c>
    </row>
    <row r="135" spans="1:19" ht="16">
      <c r="A135" s="10" t="s">
        <v>254</v>
      </c>
      <c r="B135" s="33" t="s">
        <v>523</v>
      </c>
      <c r="C135" s="15">
        <v>1</v>
      </c>
      <c r="D135" s="10" t="s">
        <v>255</v>
      </c>
      <c r="E135" s="10" t="s">
        <v>476</v>
      </c>
      <c r="F135" s="10">
        <v>1</v>
      </c>
      <c r="G135" s="15" t="s">
        <v>252</v>
      </c>
      <c r="H135" s="15" t="s">
        <v>417</v>
      </c>
      <c r="I135" s="15">
        <v>1</v>
      </c>
      <c r="J135" s="10" t="s">
        <v>121</v>
      </c>
      <c r="K135" s="15" t="s">
        <v>121</v>
      </c>
      <c r="L135" s="15">
        <v>0</v>
      </c>
      <c r="M135" s="17" t="s">
        <v>48</v>
      </c>
      <c r="N135" s="15" t="s">
        <v>425</v>
      </c>
      <c r="O135" s="15">
        <v>1</v>
      </c>
      <c r="P135" s="9">
        <v>80</v>
      </c>
      <c r="Q135" s="1">
        <v>6</v>
      </c>
      <c r="R135" s="10">
        <v>87</v>
      </c>
      <c r="S135" s="15" t="s">
        <v>253</v>
      </c>
    </row>
    <row r="136" spans="1:19" ht="16">
      <c r="A136" s="10" t="s">
        <v>256</v>
      </c>
      <c r="B136" s="33" t="s">
        <v>524</v>
      </c>
      <c r="C136" s="15">
        <v>1</v>
      </c>
      <c r="D136" s="10" t="s">
        <v>257</v>
      </c>
      <c r="E136" s="10" t="s">
        <v>499</v>
      </c>
      <c r="F136" s="10">
        <v>1</v>
      </c>
      <c r="G136" s="15" t="s">
        <v>252</v>
      </c>
      <c r="H136" s="15" t="s">
        <v>417</v>
      </c>
      <c r="I136" s="15">
        <v>1</v>
      </c>
      <c r="J136" s="10" t="s">
        <v>121</v>
      </c>
      <c r="K136" s="15" t="s">
        <v>121</v>
      </c>
      <c r="L136" s="15">
        <v>0</v>
      </c>
      <c r="M136" s="17" t="s">
        <v>48</v>
      </c>
      <c r="N136" s="15" t="s">
        <v>425</v>
      </c>
      <c r="O136" s="15">
        <v>1</v>
      </c>
      <c r="P136" s="9">
        <v>80</v>
      </c>
      <c r="Q136" s="1">
        <v>7</v>
      </c>
      <c r="R136" s="10">
        <v>62</v>
      </c>
      <c r="S136" s="15" t="s">
        <v>253</v>
      </c>
    </row>
    <row r="137" spans="1:19" ht="16">
      <c r="A137" s="10" t="s">
        <v>258</v>
      </c>
      <c r="B137" s="33" t="s">
        <v>525</v>
      </c>
      <c r="C137" s="15">
        <v>1</v>
      </c>
      <c r="D137" s="10" t="s">
        <v>255</v>
      </c>
      <c r="E137" s="10" t="s">
        <v>476</v>
      </c>
      <c r="F137" s="10">
        <v>1</v>
      </c>
      <c r="G137" s="15" t="s">
        <v>252</v>
      </c>
      <c r="H137" s="15" t="s">
        <v>417</v>
      </c>
      <c r="I137" s="15">
        <v>1</v>
      </c>
      <c r="J137" s="10" t="s">
        <v>121</v>
      </c>
      <c r="K137" s="15" t="s">
        <v>121</v>
      </c>
      <c r="L137" s="15">
        <v>0</v>
      </c>
      <c r="M137" s="17" t="s">
        <v>48</v>
      </c>
      <c r="N137" s="15" t="s">
        <v>425</v>
      </c>
      <c r="O137" s="15">
        <v>1</v>
      </c>
      <c r="P137" s="9">
        <v>80</v>
      </c>
      <c r="Q137" s="1">
        <v>24</v>
      </c>
      <c r="R137" s="10">
        <v>78</v>
      </c>
      <c r="S137" s="15" t="s">
        <v>253</v>
      </c>
    </row>
    <row r="138" spans="1:19" ht="16">
      <c r="A138" s="10" t="s">
        <v>259</v>
      </c>
      <c r="B138" s="33" t="s">
        <v>526</v>
      </c>
      <c r="C138" s="15">
        <v>1</v>
      </c>
      <c r="D138" s="10" t="s">
        <v>260</v>
      </c>
      <c r="E138" s="10" t="s">
        <v>500</v>
      </c>
      <c r="F138" s="10">
        <v>1</v>
      </c>
      <c r="G138" s="15" t="s">
        <v>252</v>
      </c>
      <c r="H138" s="15" t="s">
        <v>417</v>
      </c>
      <c r="I138" s="15">
        <v>1</v>
      </c>
      <c r="J138" s="10" t="s">
        <v>121</v>
      </c>
      <c r="K138" s="15" t="s">
        <v>121</v>
      </c>
      <c r="L138" s="15">
        <v>0</v>
      </c>
      <c r="M138" s="17" t="s">
        <v>48</v>
      </c>
      <c r="N138" s="15" t="s">
        <v>425</v>
      </c>
      <c r="O138" s="15">
        <v>1</v>
      </c>
      <c r="P138" s="9">
        <v>80</v>
      </c>
      <c r="Q138" s="1">
        <v>6</v>
      </c>
      <c r="R138" s="10">
        <v>51</v>
      </c>
      <c r="S138" s="15" t="s">
        <v>253</v>
      </c>
    </row>
    <row r="139" spans="1:19" ht="16">
      <c r="A139" s="10" t="s">
        <v>214</v>
      </c>
      <c r="B139" s="32" t="s">
        <v>449</v>
      </c>
      <c r="C139" s="15">
        <v>1.1000000000000001</v>
      </c>
      <c r="D139" s="10" t="s">
        <v>120</v>
      </c>
      <c r="E139" s="55" t="s">
        <v>457</v>
      </c>
      <c r="F139" s="10">
        <v>1</v>
      </c>
      <c r="G139" s="15" t="s">
        <v>28</v>
      </c>
      <c r="H139" s="14" t="s">
        <v>394</v>
      </c>
      <c r="I139" s="15">
        <v>1</v>
      </c>
      <c r="J139" s="10" t="s">
        <v>121</v>
      </c>
      <c r="K139" s="15" t="s">
        <v>121</v>
      </c>
      <c r="L139" s="15">
        <v>0</v>
      </c>
      <c r="M139" s="15" t="s">
        <v>174</v>
      </c>
      <c r="N139" s="15" t="s">
        <v>435</v>
      </c>
      <c r="O139" s="15">
        <v>0.625</v>
      </c>
      <c r="P139" s="9">
        <v>25</v>
      </c>
      <c r="Q139" s="1">
        <v>0.33</v>
      </c>
      <c r="R139" s="10">
        <v>99</v>
      </c>
      <c r="S139" s="15" t="s">
        <v>261</v>
      </c>
    </row>
    <row r="140" spans="1:19" ht="16">
      <c r="A140" s="10" t="s">
        <v>262</v>
      </c>
      <c r="B140" s="33" t="s">
        <v>527</v>
      </c>
      <c r="C140" s="15">
        <v>1.1000000000000001</v>
      </c>
      <c r="D140" s="10" t="s">
        <v>120</v>
      </c>
      <c r="E140" s="55" t="s">
        <v>457</v>
      </c>
      <c r="F140" s="10">
        <v>1</v>
      </c>
      <c r="G140" s="15" t="s">
        <v>28</v>
      </c>
      <c r="H140" s="14" t="s">
        <v>394</v>
      </c>
      <c r="I140" s="15">
        <v>1</v>
      </c>
      <c r="J140" s="10" t="s">
        <v>121</v>
      </c>
      <c r="K140" s="15" t="s">
        <v>121</v>
      </c>
      <c r="L140" s="15">
        <v>0</v>
      </c>
      <c r="M140" s="15" t="s">
        <v>174</v>
      </c>
      <c r="N140" s="15" t="s">
        <v>435</v>
      </c>
      <c r="O140" s="15">
        <v>0.625</v>
      </c>
      <c r="P140" s="9">
        <v>25</v>
      </c>
      <c r="Q140" s="1">
        <v>0.33</v>
      </c>
      <c r="R140" s="10">
        <v>85</v>
      </c>
      <c r="S140" s="15" t="s">
        <v>261</v>
      </c>
    </row>
    <row r="141" spans="1:19" ht="16">
      <c r="A141" s="10" t="s">
        <v>263</v>
      </c>
      <c r="B141" s="33" t="s">
        <v>528</v>
      </c>
      <c r="C141" s="15">
        <v>1.1000000000000001</v>
      </c>
      <c r="D141" s="10" t="s">
        <v>120</v>
      </c>
      <c r="E141" s="55" t="s">
        <v>457</v>
      </c>
      <c r="F141" s="10">
        <v>1</v>
      </c>
      <c r="G141" s="15" t="s">
        <v>28</v>
      </c>
      <c r="H141" s="14" t="s">
        <v>394</v>
      </c>
      <c r="I141" s="15">
        <v>1</v>
      </c>
      <c r="J141" s="10" t="s">
        <v>121</v>
      </c>
      <c r="K141" s="15" t="s">
        <v>121</v>
      </c>
      <c r="L141" s="15">
        <v>0</v>
      </c>
      <c r="M141" s="15" t="s">
        <v>174</v>
      </c>
      <c r="N141" s="15" t="s">
        <v>435</v>
      </c>
      <c r="O141" s="15">
        <v>0.625</v>
      </c>
      <c r="P141" s="9">
        <v>25</v>
      </c>
      <c r="Q141" s="1">
        <v>0.33</v>
      </c>
      <c r="R141" s="10">
        <v>91</v>
      </c>
      <c r="S141" s="15" t="s">
        <v>261</v>
      </c>
    </row>
    <row r="142" spans="1:19" ht="16">
      <c r="A142" s="10" t="s">
        <v>119</v>
      </c>
      <c r="B142" s="15" t="s">
        <v>369</v>
      </c>
      <c r="C142" s="15">
        <v>1.1000000000000001</v>
      </c>
      <c r="D142" s="10" t="s">
        <v>264</v>
      </c>
      <c r="E142" s="10" t="s">
        <v>516</v>
      </c>
      <c r="F142" s="10">
        <v>1</v>
      </c>
      <c r="G142" s="15" t="s">
        <v>28</v>
      </c>
      <c r="H142" s="14" t="s">
        <v>394</v>
      </c>
      <c r="I142" s="15">
        <v>1</v>
      </c>
      <c r="J142" s="10" t="s">
        <v>121</v>
      </c>
      <c r="K142" s="15" t="s">
        <v>121</v>
      </c>
      <c r="L142" s="15">
        <v>0</v>
      </c>
      <c r="M142" s="15" t="s">
        <v>174</v>
      </c>
      <c r="N142" s="15" t="s">
        <v>435</v>
      </c>
      <c r="O142" s="15">
        <v>0.625</v>
      </c>
      <c r="P142" s="9">
        <v>25</v>
      </c>
      <c r="Q142" s="1">
        <v>0.33</v>
      </c>
      <c r="R142" s="10">
        <v>68</v>
      </c>
      <c r="S142" s="15" t="s">
        <v>261</v>
      </c>
    </row>
    <row r="143" spans="1:19" ht="16">
      <c r="A143" s="10" t="s">
        <v>265</v>
      </c>
      <c r="B143" s="33" t="s">
        <v>529</v>
      </c>
      <c r="C143" s="15">
        <v>1.1000000000000001</v>
      </c>
      <c r="D143" s="10" t="s">
        <v>120</v>
      </c>
      <c r="E143" s="55" t="s">
        <v>457</v>
      </c>
      <c r="F143" s="10">
        <v>1</v>
      </c>
      <c r="G143" s="15" t="s">
        <v>28</v>
      </c>
      <c r="H143" s="14" t="s">
        <v>394</v>
      </c>
      <c r="I143" s="15">
        <v>1</v>
      </c>
      <c r="J143" s="10" t="s">
        <v>121</v>
      </c>
      <c r="K143" s="15" t="s">
        <v>121</v>
      </c>
      <c r="L143" s="15">
        <v>0</v>
      </c>
      <c r="M143" s="15" t="s">
        <v>174</v>
      </c>
      <c r="N143" s="15" t="s">
        <v>435</v>
      </c>
      <c r="O143" s="15">
        <v>0.625</v>
      </c>
      <c r="P143" s="9">
        <v>25</v>
      </c>
      <c r="Q143" s="1">
        <v>0.33</v>
      </c>
      <c r="R143" s="10">
        <v>69</v>
      </c>
      <c r="S143" s="15" t="s">
        <v>261</v>
      </c>
    </row>
    <row r="144" spans="1:19" ht="16">
      <c r="A144" s="10" t="s">
        <v>266</v>
      </c>
      <c r="B144" s="33" t="s">
        <v>530</v>
      </c>
      <c r="C144" s="15">
        <v>1</v>
      </c>
      <c r="D144" s="10" t="s">
        <v>267</v>
      </c>
      <c r="E144" s="10" t="s">
        <v>517</v>
      </c>
      <c r="F144" s="10">
        <v>1</v>
      </c>
      <c r="G144" s="15" t="s">
        <v>268</v>
      </c>
      <c r="H144" s="15" t="s">
        <v>418</v>
      </c>
      <c r="I144" s="15">
        <v>1.23</v>
      </c>
      <c r="J144" s="44" t="s">
        <v>196</v>
      </c>
      <c r="K144" s="14" t="s">
        <v>381</v>
      </c>
      <c r="L144" s="15">
        <v>2.52</v>
      </c>
      <c r="M144" s="15" t="s">
        <v>40</v>
      </c>
      <c r="N144" s="14" t="s">
        <v>423</v>
      </c>
      <c r="O144" s="15">
        <v>3.4000000000000002E-2</v>
      </c>
      <c r="P144" s="9">
        <v>70</v>
      </c>
      <c r="Q144" s="1">
        <v>2</v>
      </c>
      <c r="R144" s="10">
        <v>84</v>
      </c>
      <c r="S144" s="15" t="s">
        <v>269</v>
      </c>
    </row>
    <row r="145" spans="1:19" ht="16">
      <c r="A145" s="26" t="s">
        <v>372</v>
      </c>
      <c r="B145" s="33" t="s">
        <v>371</v>
      </c>
      <c r="C145" s="15">
        <v>1</v>
      </c>
      <c r="D145" s="10" t="s">
        <v>247</v>
      </c>
      <c r="E145" s="10" t="s">
        <v>466</v>
      </c>
      <c r="F145" s="10">
        <v>1</v>
      </c>
      <c r="G145" s="15" t="s">
        <v>268</v>
      </c>
      <c r="H145" s="15" t="s">
        <v>418</v>
      </c>
      <c r="I145" s="15">
        <v>1.23</v>
      </c>
      <c r="J145" s="44" t="s">
        <v>196</v>
      </c>
      <c r="K145" s="14" t="s">
        <v>381</v>
      </c>
      <c r="L145" s="15">
        <v>2.52</v>
      </c>
      <c r="M145" s="15" t="s">
        <v>40</v>
      </c>
      <c r="N145" s="14" t="s">
        <v>423</v>
      </c>
      <c r="O145" s="15">
        <v>3.4000000000000002E-2</v>
      </c>
      <c r="P145" s="9">
        <v>70</v>
      </c>
      <c r="Q145" s="1">
        <v>2</v>
      </c>
      <c r="R145" s="10">
        <v>92</v>
      </c>
      <c r="S145" s="15" t="s">
        <v>269</v>
      </c>
    </row>
    <row r="146" spans="1:19" ht="16">
      <c r="A146" s="10" t="s">
        <v>119</v>
      </c>
      <c r="B146" s="15" t="s">
        <v>369</v>
      </c>
      <c r="C146" s="15">
        <v>1</v>
      </c>
      <c r="D146" s="10" t="s">
        <v>270</v>
      </c>
      <c r="E146" s="10" t="s">
        <v>501</v>
      </c>
      <c r="F146" s="10">
        <v>1</v>
      </c>
      <c r="G146" s="15" t="s">
        <v>268</v>
      </c>
      <c r="H146" s="15" t="s">
        <v>418</v>
      </c>
      <c r="I146" s="15">
        <v>1.23</v>
      </c>
      <c r="J146" s="44" t="s">
        <v>196</v>
      </c>
      <c r="K146" s="14" t="s">
        <v>381</v>
      </c>
      <c r="L146" s="15">
        <v>2.52</v>
      </c>
      <c r="M146" s="15" t="s">
        <v>40</v>
      </c>
      <c r="N146" s="14" t="s">
        <v>423</v>
      </c>
      <c r="O146" s="15">
        <v>3.4000000000000002E-2</v>
      </c>
      <c r="P146" s="9">
        <v>70</v>
      </c>
      <c r="Q146" s="1">
        <v>4</v>
      </c>
      <c r="R146" s="10">
        <v>82</v>
      </c>
      <c r="S146" s="15" t="s">
        <v>269</v>
      </c>
    </row>
    <row r="147" spans="1:19" ht="16">
      <c r="A147" s="10" t="s">
        <v>271</v>
      </c>
      <c r="B147" s="33" t="s">
        <v>531</v>
      </c>
      <c r="C147" s="15">
        <v>1</v>
      </c>
      <c r="D147" s="10" t="s">
        <v>247</v>
      </c>
      <c r="E147" s="10" t="s">
        <v>466</v>
      </c>
      <c r="F147" s="10">
        <v>1</v>
      </c>
      <c r="G147" s="15" t="s">
        <v>268</v>
      </c>
      <c r="H147" s="15" t="s">
        <v>418</v>
      </c>
      <c r="I147" s="15">
        <v>1.23</v>
      </c>
      <c r="J147" s="44" t="s">
        <v>196</v>
      </c>
      <c r="K147" s="14" t="s">
        <v>381</v>
      </c>
      <c r="L147" s="15">
        <v>2.52</v>
      </c>
      <c r="M147" s="15" t="s">
        <v>40</v>
      </c>
      <c r="N147" s="14" t="s">
        <v>423</v>
      </c>
      <c r="O147" s="15">
        <v>3.4000000000000002E-2</v>
      </c>
      <c r="P147" s="9">
        <v>70</v>
      </c>
      <c r="Q147" s="1">
        <v>4</v>
      </c>
      <c r="R147" s="10">
        <v>63</v>
      </c>
      <c r="S147" s="15" t="s">
        <v>269</v>
      </c>
    </row>
    <row r="148" spans="1:19" ht="16">
      <c r="A148" s="10" t="s">
        <v>119</v>
      </c>
      <c r="B148" s="15" t="s">
        <v>369</v>
      </c>
      <c r="C148" s="15">
        <v>1</v>
      </c>
      <c r="D148" s="10" t="s">
        <v>272</v>
      </c>
      <c r="E148" s="10" t="s">
        <v>502</v>
      </c>
      <c r="F148" s="10">
        <v>1</v>
      </c>
      <c r="G148" s="15" t="s">
        <v>268</v>
      </c>
      <c r="H148" s="15" t="s">
        <v>418</v>
      </c>
      <c r="I148" s="15">
        <v>1.23</v>
      </c>
      <c r="J148" s="44" t="s">
        <v>196</v>
      </c>
      <c r="K148" s="14" t="s">
        <v>381</v>
      </c>
      <c r="L148" s="15">
        <v>2.52</v>
      </c>
      <c r="M148" s="15" t="s">
        <v>40</v>
      </c>
      <c r="N148" s="14" t="s">
        <v>423</v>
      </c>
      <c r="O148" s="15">
        <v>3.4000000000000002E-2</v>
      </c>
      <c r="P148" s="9">
        <v>70</v>
      </c>
      <c r="Q148" s="1">
        <v>4</v>
      </c>
      <c r="R148" s="10">
        <v>48</v>
      </c>
      <c r="S148" s="15" t="s">
        <v>269</v>
      </c>
    </row>
    <row r="149" spans="1:19" ht="16">
      <c r="A149" s="10" t="s">
        <v>273</v>
      </c>
      <c r="B149" s="33" t="s">
        <v>532</v>
      </c>
      <c r="C149" s="15">
        <v>4</v>
      </c>
      <c r="D149" s="10" t="s">
        <v>274</v>
      </c>
      <c r="E149" s="10" t="s">
        <v>503</v>
      </c>
      <c r="F149" s="10">
        <v>1</v>
      </c>
      <c r="G149" s="15" t="s">
        <v>275</v>
      </c>
      <c r="H149" s="15" t="s">
        <v>419</v>
      </c>
      <c r="I149" s="15">
        <v>1</v>
      </c>
      <c r="J149" s="10" t="s">
        <v>121</v>
      </c>
      <c r="K149" s="15" t="s">
        <v>121</v>
      </c>
      <c r="L149" s="15">
        <v>0</v>
      </c>
      <c r="M149" s="15" t="s">
        <v>153</v>
      </c>
      <c r="N149" s="15" t="s">
        <v>430</v>
      </c>
      <c r="O149" s="15">
        <v>1</v>
      </c>
      <c r="P149" s="9">
        <v>110</v>
      </c>
      <c r="Q149" s="1">
        <v>12</v>
      </c>
      <c r="R149" s="10">
        <v>83</v>
      </c>
      <c r="S149" s="15" t="s">
        <v>276</v>
      </c>
    </row>
    <row r="150" spans="1:19" ht="16">
      <c r="A150" s="10" t="s">
        <v>277</v>
      </c>
      <c r="B150" s="33" t="s">
        <v>533</v>
      </c>
      <c r="C150" s="15">
        <v>3</v>
      </c>
      <c r="D150" s="10" t="s">
        <v>120</v>
      </c>
      <c r="E150" s="55" t="s">
        <v>457</v>
      </c>
      <c r="F150" s="10">
        <v>1</v>
      </c>
      <c r="G150" s="15" t="s">
        <v>275</v>
      </c>
      <c r="H150" s="15" t="s">
        <v>419</v>
      </c>
      <c r="I150" s="15">
        <v>1</v>
      </c>
      <c r="J150" s="10" t="s">
        <v>121</v>
      </c>
      <c r="K150" s="15" t="s">
        <v>121</v>
      </c>
      <c r="L150" s="15">
        <v>0</v>
      </c>
      <c r="M150" s="15" t="s">
        <v>153</v>
      </c>
      <c r="N150" s="48" t="s">
        <v>430</v>
      </c>
      <c r="O150" s="15">
        <v>1</v>
      </c>
      <c r="P150" s="9">
        <v>110</v>
      </c>
      <c r="Q150" s="1">
        <v>12</v>
      </c>
      <c r="R150" s="10">
        <v>41</v>
      </c>
      <c r="S150" s="15" t="s">
        <v>276</v>
      </c>
    </row>
    <row r="151" spans="1:19" ht="16">
      <c r="A151" s="10" t="s">
        <v>119</v>
      </c>
      <c r="B151" s="15" t="s">
        <v>369</v>
      </c>
      <c r="C151" s="15">
        <v>4</v>
      </c>
      <c r="D151" s="10" t="s">
        <v>278</v>
      </c>
      <c r="E151" s="10" t="s">
        <v>504</v>
      </c>
      <c r="F151" s="10">
        <v>1</v>
      </c>
      <c r="G151" s="15" t="s">
        <v>275</v>
      </c>
      <c r="H151" s="15" t="s">
        <v>419</v>
      </c>
      <c r="I151" s="15">
        <v>1</v>
      </c>
      <c r="J151" s="10" t="s">
        <v>121</v>
      </c>
      <c r="K151" s="15" t="s">
        <v>121</v>
      </c>
      <c r="L151" s="15">
        <v>0</v>
      </c>
      <c r="M151" s="15" t="s">
        <v>153</v>
      </c>
      <c r="N151" s="15" t="s">
        <v>430</v>
      </c>
      <c r="O151" s="15">
        <v>1</v>
      </c>
      <c r="P151" s="9">
        <v>110</v>
      </c>
      <c r="Q151" s="1">
        <v>12</v>
      </c>
      <c r="R151" s="10">
        <v>90</v>
      </c>
      <c r="S151" s="15" t="s">
        <v>276</v>
      </c>
    </row>
    <row r="152" spans="1:19" ht="16">
      <c r="A152" s="10" t="s">
        <v>119</v>
      </c>
      <c r="B152" s="15" t="s">
        <v>369</v>
      </c>
      <c r="C152" s="15">
        <v>4</v>
      </c>
      <c r="D152" s="10" t="s">
        <v>279</v>
      </c>
      <c r="E152" s="10" t="s">
        <v>479</v>
      </c>
      <c r="F152" s="10">
        <v>1</v>
      </c>
      <c r="G152" s="15" t="s">
        <v>275</v>
      </c>
      <c r="H152" s="15" t="s">
        <v>419</v>
      </c>
      <c r="I152" s="15">
        <v>1</v>
      </c>
      <c r="J152" s="10" t="s">
        <v>121</v>
      </c>
      <c r="K152" s="15" t="s">
        <v>121</v>
      </c>
      <c r="L152" s="15">
        <v>0</v>
      </c>
      <c r="M152" s="15" t="s">
        <v>153</v>
      </c>
      <c r="N152" s="15" t="s">
        <v>430</v>
      </c>
      <c r="O152" s="15">
        <v>1</v>
      </c>
      <c r="P152" s="9">
        <v>110</v>
      </c>
      <c r="Q152" s="1">
        <v>12</v>
      </c>
      <c r="R152" s="10">
        <v>97</v>
      </c>
      <c r="S152" s="15" t="s">
        <v>276</v>
      </c>
    </row>
    <row r="153" spans="1:19" ht="16">
      <c r="A153" s="63" t="s">
        <v>372</v>
      </c>
      <c r="B153" s="71" t="s">
        <v>371</v>
      </c>
      <c r="C153" s="62">
        <v>4</v>
      </c>
      <c r="D153" s="70" t="s">
        <v>570</v>
      </c>
      <c r="E153" s="63" t="s">
        <v>571</v>
      </c>
      <c r="F153" s="63">
        <v>1</v>
      </c>
      <c r="G153" s="62" t="s">
        <v>275</v>
      </c>
      <c r="H153" s="62" t="s">
        <v>419</v>
      </c>
      <c r="I153" s="62">
        <v>1</v>
      </c>
      <c r="J153" s="63" t="s">
        <v>121</v>
      </c>
      <c r="K153" s="62" t="s">
        <v>121</v>
      </c>
      <c r="L153" s="62">
        <v>0</v>
      </c>
      <c r="M153" s="62" t="s">
        <v>153</v>
      </c>
      <c r="N153" s="62" t="s">
        <v>430</v>
      </c>
      <c r="O153" s="62">
        <v>1</v>
      </c>
      <c r="P153" s="66">
        <v>110</v>
      </c>
      <c r="Q153" s="67">
        <v>12</v>
      </c>
      <c r="R153" s="63">
        <v>87</v>
      </c>
      <c r="S153" s="62" t="s">
        <v>276</v>
      </c>
    </row>
    <row r="154" spans="1:19" ht="16">
      <c r="A154" s="26" t="s">
        <v>165</v>
      </c>
      <c r="B154" s="15" t="s">
        <v>370</v>
      </c>
      <c r="C154" s="15">
        <v>1.1000000000000001</v>
      </c>
      <c r="D154" s="10" t="s">
        <v>280</v>
      </c>
      <c r="E154" s="10" t="s">
        <v>505</v>
      </c>
      <c r="F154" s="10">
        <v>1</v>
      </c>
      <c r="G154" s="15" t="s">
        <v>281</v>
      </c>
      <c r="H154" s="15" t="s">
        <v>395</v>
      </c>
      <c r="I154" s="15">
        <v>1.1000000000000001</v>
      </c>
      <c r="J154" s="10" t="s">
        <v>282</v>
      </c>
      <c r="K154" s="15" t="s">
        <v>385</v>
      </c>
      <c r="L154" s="15">
        <v>3.1</v>
      </c>
      <c r="M154" s="15" t="s">
        <v>283</v>
      </c>
      <c r="N154" s="15" t="s">
        <v>438</v>
      </c>
      <c r="O154" s="15">
        <v>0.5</v>
      </c>
      <c r="P154" s="9">
        <v>25</v>
      </c>
      <c r="Q154" s="1">
        <v>2</v>
      </c>
      <c r="R154" s="10">
        <v>97</v>
      </c>
      <c r="S154" s="15" t="s">
        <v>284</v>
      </c>
    </row>
    <row r="155" spans="1:19" ht="16">
      <c r="A155" s="10" t="s">
        <v>285</v>
      </c>
      <c r="B155" s="33" t="s">
        <v>534</v>
      </c>
      <c r="C155" s="15">
        <v>1.1000000000000001</v>
      </c>
      <c r="D155" s="10" t="s">
        <v>286</v>
      </c>
      <c r="E155" s="10" t="s">
        <v>507</v>
      </c>
      <c r="F155" s="10">
        <v>1</v>
      </c>
      <c r="G155" s="15" t="s">
        <v>281</v>
      </c>
      <c r="H155" s="15" t="s">
        <v>395</v>
      </c>
      <c r="I155" s="15">
        <v>1.1000000000000001</v>
      </c>
      <c r="J155" s="10" t="s">
        <v>282</v>
      </c>
      <c r="K155" s="15" t="s">
        <v>385</v>
      </c>
      <c r="L155" s="15">
        <v>3.1</v>
      </c>
      <c r="M155" s="15" t="s">
        <v>283</v>
      </c>
      <c r="N155" s="15" t="s">
        <v>438</v>
      </c>
      <c r="O155" s="15">
        <v>0.5</v>
      </c>
      <c r="P155" s="9">
        <v>25</v>
      </c>
      <c r="Q155" s="1">
        <v>0.25</v>
      </c>
      <c r="R155" s="10">
        <v>99</v>
      </c>
      <c r="S155" s="15" t="s">
        <v>284</v>
      </c>
    </row>
    <row r="156" spans="1:19" ht="16">
      <c r="A156" s="10" t="s">
        <v>223</v>
      </c>
      <c r="B156" s="33" t="s">
        <v>452</v>
      </c>
      <c r="C156" s="15">
        <v>1.1000000000000001</v>
      </c>
      <c r="D156" s="10" t="s">
        <v>287</v>
      </c>
      <c r="E156" s="10" t="s">
        <v>508</v>
      </c>
      <c r="F156" s="10">
        <v>1</v>
      </c>
      <c r="G156" s="15" t="s">
        <v>281</v>
      </c>
      <c r="H156" s="15" t="s">
        <v>395</v>
      </c>
      <c r="I156" s="15">
        <v>1.1000000000000001</v>
      </c>
      <c r="J156" s="10" t="s">
        <v>282</v>
      </c>
      <c r="K156" s="15" t="s">
        <v>385</v>
      </c>
      <c r="L156" s="15">
        <v>3.1</v>
      </c>
      <c r="M156" s="15" t="s">
        <v>283</v>
      </c>
      <c r="N156" s="15" t="s">
        <v>438</v>
      </c>
      <c r="O156" s="15">
        <v>0.5</v>
      </c>
      <c r="P156" s="9">
        <v>25</v>
      </c>
      <c r="Q156" s="1">
        <v>1</v>
      </c>
      <c r="R156" s="10">
        <v>85</v>
      </c>
      <c r="S156" s="15" t="s">
        <v>284</v>
      </c>
    </row>
    <row r="157" spans="1:19" ht="16">
      <c r="A157" s="26" t="s">
        <v>165</v>
      </c>
      <c r="B157" s="15" t="s">
        <v>370</v>
      </c>
      <c r="C157" s="15">
        <v>1.1000000000000001</v>
      </c>
      <c r="D157" s="10" t="s">
        <v>288</v>
      </c>
      <c r="E157" s="10" t="s">
        <v>509</v>
      </c>
      <c r="F157" s="10">
        <v>1</v>
      </c>
      <c r="G157" s="15" t="s">
        <v>281</v>
      </c>
      <c r="H157" s="15" t="s">
        <v>395</v>
      </c>
      <c r="I157" s="15">
        <v>1.1000000000000001</v>
      </c>
      <c r="J157" s="10" t="s">
        <v>282</v>
      </c>
      <c r="K157" s="15" t="s">
        <v>385</v>
      </c>
      <c r="L157" s="15">
        <v>3.1</v>
      </c>
      <c r="M157" s="15" t="s">
        <v>283</v>
      </c>
      <c r="N157" s="15" t="s">
        <v>438</v>
      </c>
      <c r="O157" s="15">
        <v>0.5</v>
      </c>
      <c r="P157" s="9">
        <v>25</v>
      </c>
      <c r="Q157" s="1">
        <v>2</v>
      </c>
      <c r="R157" s="10">
        <v>93</v>
      </c>
      <c r="S157" s="15" t="s">
        <v>284</v>
      </c>
    </row>
    <row r="158" spans="1:19" ht="16">
      <c r="A158" s="10" t="s">
        <v>289</v>
      </c>
      <c r="B158" s="33" t="s">
        <v>535</v>
      </c>
      <c r="C158" s="15">
        <v>1.1000000000000001</v>
      </c>
      <c r="D158" s="10" t="s">
        <v>280</v>
      </c>
      <c r="E158" s="10" t="s">
        <v>505</v>
      </c>
      <c r="F158" s="10">
        <v>1</v>
      </c>
      <c r="G158" s="15" t="s">
        <v>281</v>
      </c>
      <c r="H158" s="15" t="s">
        <v>395</v>
      </c>
      <c r="I158" s="15">
        <v>1.1000000000000001</v>
      </c>
      <c r="J158" s="10" t="s">
        <v>282</v>
      </c>
      <c r="K158" s="15" t="s">
        <v>385</v>
      </c>
      <c r="L158" s="15">
        <v>3.1</v>
      </c>
      <c r="M158" s="15" t="s">
        <v>283</v>
      </c>
      <c r="N158" s="15" t="s">
        <v>438</v>
      </c>
      <c r="O158" s="15">
        <v>0.5</v>
      </c>
      <c r="P158" s="9">
        <v>25</v>
      </c>
      <c r="Q158" s="1">
        <v>4</v>
      </c>
      <c r="R158" s="10">
        <v>86</v>
      </c>
      <c r="S158" s="15" t="s">
        <v>284</v>
      </c>
    </row>
    <row r="159" spans="1:19" ht="16">
      <c r="A159" s="10" t="s">
        <v>290</v>
      </c>
      <c r="B159" s="33" t="s">
        <v>536</v>
      </c>
      <c r="C159" s="15">
        <v>1.1000000000000001</v>
      </c>
      <c r="D159" s="10" t="s">
        <v>286</v>
      </c>
      <c r="E159" s="10" t="s">
        <v>507</v>
      </c>
      <c r="F159" s="10">
        <v>1</v>
      </c>
      <c r="G159" s="15" t="s">
        <v>281</v>
      </c>
      <c r="H159" s="15" t="s">
        <v>395</v>
      </c>
      <c r="I159" s="15">
        <v>1.1000000000000001</v>
      </c>
      <c r="J159" s="10" t="s">
        <v>282</v>
      </c>
      <c r="K159" s="15" t="s">
        <v>385</v>
      </c>
      <c r="L159" s="15">
        <v>3.1</v>
      </c>
      <c r="M159" s="15" t="s">
        <v>283</v>
      </c>
      <c r="N159" s="15" t="s">
        <v>438</v>
      </c>
      <c r="O159" s="15">
        <v>0.5</v>
      </c>
      <c r="P159" s="9">
        <v>25</v>
      </c>
      <c r="Q159" s="1">
        <v>2</v>
      </c>
      <c r="R159" s="10">
        <v>95</v>
      </c>
      <c r="S159" s="15" t="s">
        <v>284</v>
      </c>
    </row>
    <row r="160" spans="1:19" ht="16">
      <c r="A160" s="10" t="s">
        <v>254</v>
      </c>
      <c r="B160" s="33" t="s">
        <v>523</v>
      </c>
      <c r="C160" s="15">
        <v>1.1000000000000001</v>
      </c>
      <c r="D160" s="10" t="s">
        <v>291</v>
      </c>
      <c r="E160" s="10" t="s">
        <v>510</v>
      </c>
      <c r="F160" s="10">
        <v>1</v>
      </c>
      <c r="G160" s="15" t="s">
        <v>281</v>
      </c>
      <c r="H160" s="15" t="s">
        <v>395</v>
      </c>
      <c r="I160" s="15">
        <v>1.1000000000000001</v>
      </c>
      <c r="J160" s="10" t="s">
        <v>282</v>
      </c>
      <c r="K160" s="15" t="s">
        <v>385</v>
      </c>
      <c r="L160" s="15">
        <v>3.1</v>
      </c>
      <c r="M160" s="15" t="s">
        <v>283</v>
      </c>
      <c r="N160" s="15" t="s">
        <v>438</v>
      </c>
      <c r="O160" s="15">
        <v>0.5</v>
      </c>
      <c r="P160" s="9">
        <v>25</v>
      </c>
      <c r="Q160" s="1">
        <v>2</v>
      </c>
      <c r="R160" s="10">
        <v>95</v>
      </c>
      <c r="S160" s="15" t="s">
        <v>284</v>
      </c>
    </row>
    <row r="161" spans="1:19" ht="16">
      <c r="A161" s="26" t="s">
        <v>165</v>
      </c>
      <c r="B161" s="15" t="s">
        <v>370</v>
      </c>
      <c r="C161" s="15">
        <v>1.1000000000000001</v>
      </c>
      <c r="D161" s="10" t="s">
        <v>292</v>
      </c>
      <c r="E161" s="10" t="s">
        <v>511</v>
      </c>
      <c r="F161" s="10">
        <v>1</v>
      </c>
      <c r="G161" s="15" t="s">
        <v>281</v>
      </c>
      <c r="H161" s="15" t="s">
        <v>395</v>
      </c>
      <c r="I161" s="15">
        <v>1.1000000000000001</v>
      </c>
      <c r="J161" s="10" t="s">
        <v>282</v>
      </c>
      <c r="K161" s="15" t="s">
        <v>385</v>
      </c>
      <c r="L161" s="15">
        <v>3.1</v>
      </c>
      <c r="M161" s="15" t="s">
        <v>283</v>
      </c>
      <c r="N161" s="15" t="s">
        <v>438</v>
      </c>
      <c r="O161" s="15">
        <v>0.5</v>
      </c>
      <c r="P161" s="9">
        <v>25</v>
      </c>
      <c r="Q161" s="1">
        <v>4</v>
      </c>
      <c r="R161" s="10">
        <v>99</v>
      </c>
      <c r="S161" s="15" t="s">
        <v>284</v>
      </c>
    </row>
    <row r="162" spans="1:19" ht="16">
      <c r="A162" s="10" t="s">
        <v>293</v>
      </c>
      <c r="B162" s="33" t="s">
        <v>537</v>
      </c>
      <c r="C162" s="15">
        <v>1.1000000000000001</v>
      </c>
      <c r="D162" s="10" t="s">
        <v>294</v>
      </c>
      <c r="E162" s="10" t="s">
        <v>512</v>
      </c>
      <c r="F162" s="10">
        <v>1</v>
      </c>
      <c r="G162" s="15" t="s">
        <v>281</v>
      </c>
      <c r="H162" s="15" t="s">
        <v>395</v>
      </c>
      <c r="I162" s="15">
        <v>1.1000000000000001</v>
      </c>
      <c r="J162" s="10" t="s">
        <v>282</v>
      </c>
      <c r="K162" s="15" t="s">
        <v>385</v>
      </c>
      <c r="L162" s="15">
        <v>31</v>
      </c>
      <c r="M162" s="15" t="s">
        <v>283</v>
      </c>
      <c r="N162" s="15" t="s">
        <v>438</v>
      </c>
      <c r="O162" s="15">
        <v>0.5</v>
      </c>
      <c r="P162" s="9">
        <v>25</v>
      </c>
      <c r="Q162" s="1">
        <v>2</v>
      </c>
      <c r="R162" s="10">
        <v>92</v>
      </c>
      <c r="S162" s="15" t="s">
        <v>284</v>
      </c>
    </row>
    <row r="163" spans="1:19" ht="16">
      <c r="A163" s="10" t="s">
        <v>295</v>
      </c>
      <c r="B163" s="33" t="s">
        <v>538</v>
      </c>
      <c r="C163" s="15">
        <v>1.1000000000000001</v>
      </c>
      <c r="D163" s="10" t="s">
        <v>291</v>
      </c>
      <c r="E163" s="10" t="s">
        <v>510</v>
      </c>
      <c r="F163" s="10">
        <v>1</v>
      </c>
      <c r="G163" s="15" t="s">
        <v>281</v>
      </c>
      <c r="H163" s="15" t="s">
        <v>395</v>
      </c>
      <c r="I163" s="15">
        <v>1.1000000000000001</v>
      </c>
      <c r="J163" s="10" t="s">
        <v>282</v>
      </c>
      <c r="K163" s="15" t="s">
        <v>385</v>
      </c>
      <c r="L163" s="15">
        <v>3.1</v>
      </c>
      <c r="M163" s="15" t="s">
        <v>283</v>
      </c>
      <c r="N163" s="15" t="s">
        <v>438</v>
      </c>
      <c r="O163" s="15">
        <v>0.5</v>
      </c>
      <c r="P163" s="9">
        <v>25</v>
      </c>
      <c r="Q163" s="1">
        <v>0.5</v>
      </c>
      <c r="R163" s="10">
        <v>96</v>
      </c>
      <c r="S163" s="15" t="s">
        <v>284</v>
      </c>
    </row>
    <row r="164" spans="1:19" ht="16">
      <c r="A164" s="10" t="s">
        <v>231</v>
      </c>
      <c r="B164" s="15" t="s">
        <v>488</v>
      </c>
      <c r="C164" s="15">
        <v>1</v>
      </c>
      <c r="D164" s="10" t="s">
        <v>279</v>
      </c>
      <c r="E164" s="10" t="s">
        <v>479</v>
      </c>
      <c r="F164" s="10">
        <v>1</v>
      </c>
      <c r="G164" s="15" t="s">
        <v>296</v>
      </c>
      <c r="H164" s="14" t="s">
        <v>394</v>
      </c>
      <c r="I164" s="15">
        <v>1.2</v>
      </c>
      <c r="J164" s="10" t="s">
        <v>121</v>
      </c>
      <c r="K164" s="15" t="s">
        <v>121</v>
      </c>
      <c r="L164" s="15">
        <v>0</v>
      </c>
      <c r="M164" s="15" t="s">
        <v>121</v>
      </c>
      <c r="N164" s="15" t="s">
        <v>121</v>
      </c>
      <c r="O164" s="15">
        <v>0</v>
      </c>
      <c r="P164" s="9">
        <v>25</v>
      </c>
      <c r="Q164" s="1">
        <v>0.03</v>
      </c>
      <c r="R164" s="10">
        <v>86</v>
      </c>
      <c r="S164" s="15" t="s">
        <v>297</v>
      </c>
    </row>
    <row r="165" spans="1:19" ht="16">
      <c r="A165" s="10" t="s">
        <v>231</v>
      </c>
      <c r="B165" s="15" t="s">
        <v>488</v>
      </c>
      <c r="C165" s="15">
        <v>1</v>
      </c>
      <c r="D165" s="10" t="s">
        <v>279</v>
      </c>
      <c r="E165" s="10" t="s">
        <v>479</v>
      </c>
      <c r="F165" s="10">
        <v>1</v>
      </c>
      <c r="G165" s="15" t="s">
        <v>296</v>
      </c>
      <c r="H165" s="14" t="s">
        <v>394</v>
      </c>
      <c r="I165" s="15">
        <v>1.2</v>
      </c>
      <c r="J165" s="10" t="s">
        <v>121</v>
      </c>
      <c r="K165" s="15" t="s">
        <v>121</v>
      </c>
      <c r="L165" s="15">
        <v>0</v>
      </c>
      <c r="M165" s="15" t="s">
        <v>16</v>
      </c>
      <c r="N165" s="58" t="s">
        <v>562</v>
      </c>
      <c r="O165" s="15">
        <v>0.5</v>
      </c>
      <c r="P165" s="9">
        <v>25</v>
      </c>
      <c r="Q165" s="1">
        <v>16</v>
      </c>
      <c r="R165" s="10">
        <v>79</v>
      </c>
      <c r="S165" s="15" t="s">
        <v>297</v>
      </c>
    </row>
    <row r="166" spans="1:19" ht="16">
      <c r="A166" s="10" t="s">
        <v>298</v>
      </c>
      <c r="B166" s="33" t="s">
        <v>539</v>
      </c>
      <c r="C166" s="15">
        <v>1</v>
      </c>
      <c r="D166" s="10" t="s">
        <v>247</v>
      </c>
      <c r="E166" s="10" t="s">
        <v>466</v>
      </c>
      <c r="F166" s="10">
        <v>1</v>
      </c>
      <c r="G166" s="15" t="s">
        <v>296</v>
      </c>
      <c r="H166" s="14" t="s">
        <v>394</v>
      </c>
      <c r="I166" s="15">
        <v>1.2</v>
      </c>
      <c r="J166" s="10" t="s">
        <v>121</v>
      </c>
      <c r="K166" s="15" t="s">
        <v>121</v>
      </c>
      <c r="L166" s="15">
        <v>0</v>
      </c>
      <c r="M166" s="15" t="s">
        <v>121</v>
      </c>
      <c r="N166" s="15" t="s">
        <v>121</v>
      </c>
      <c r="O166" s="15">
        <v>0</v>
      </c>
      <c r="P166" s="9">
        <v>25</v>
      </c>
      <c r="Q166" s="1">
        <v>0.03</v>
      </c>
      <c r="R166" s="10">
        <v>82</v>
      </c>
      <c r="S166" s="15" t="s">
        <v>297</v>
      </c>
    </row>
    <row r="167" spans="1:19" ht="16">
      <c r="A167" s="10" t="s">
        <v>293</v>
      </c>
      <c r="B167" s="33" t="s">
        <v>537</v>
      </c>
      <c r="C167" s="15">
        <v>1</v>
      </c>
      <c r="D167" s="10" t="s">
        <v>299</v>
      </c>
      <c r="E167" s="10" t="s">
        <v>457</v>
      </c>
      <c r="F167" s="10">
        <v>1</v>
      </c>
      <c r="G167" s="15" t="s">
        <v>296</v>
      </c>
      <c r="H167" s="14" t="s">
        <v>394</v>
      </c>
      <c r="I167" s="15">
        <v>1.2</v>
      </c>
      <c r="J167" s="10" t="s">
        <v>121</v>
      </c>
      <c r="K167" s="15" t="s">
        <v>121</v>
      </c>
      <c r="L167" s="15">
        <v>0</v>
      </c>
      <c r="M167" s="15" t="s">
        <v>121</v>
      </c>
      <c r="N167" s="15" t="s">
        <v>121</v>
      </c>
      <c r="O167" s="15">
        <v>0</v>
      </c>
      <c r="P167" s="9">
        <v>25</v>
      </c>
      <c r="Q167" s="1">
        <v>0.03</v>
      </c>
      <c r="R167" s="10">
        <v>94</v>
      </c>
      <c r="S167" s="15" t="s">
        <v>297</v>
      </c>
    </row>
    <row r="168" spans="1:19" ht="16">
      <c r="A168" s="10" t="s">
        <v>231</v>
      </c>
      <c r="B168" s="15" t="s">
        <v>488</v>
      </c>
      <c r="C168" s="15">
        <v>1</v>
      </c>
      <c r="D168" s="10" t="s">
        <v>300</v>
      </c>
      <c r="E168" s="10" t="s">
        <v>513</v>
      </c>
      <c r="F168" s="10">
        <v>1</v>
      </c>
      <c r="G168" s="15" t="s">
        <v>296</v>
      </c>
      <c r="H168" s="14" t="s">
        <v>394</v>
      </c>
      <c r="I168" s="15">
        <v>1.2</v>
      </c>
      <c r="J168" s="10" t="s">
        <v>121</v>
      </c>
      <c r="K168" s="15" t="s">
        <v>121</v>
      </c>
      <c r="L168" s="15">
        <v>0</v>
      </c>
      <c r="M168" s="15" t="s">
        <v>121</v>
      </c>
      <c r="N168" s="15" t="s">
        <v>121</v>
      </c>
      <c r="O168" s="15">
        <v>0</v>
      </c>
      <c r="P168" s="9">
        <v>25</v>
      </c>
      <c r="Q168" s="1">
        <v>0.03</v>
      </c>
      <c r="R168" s="10">
        <v>82</v>
      </c>
      <c r="S168" s="15" t="s">
        <v>297</v>
      </c>
    </row>
    <row r="169" spans="1:19" ht="16">
      <c r="A169" s="26" t="s">
        <v>165</v>
      </c>
      <c r="B169" s="15" t="s">
        <v>370</v>
      </c>
      <c r="C169" s="15">
        <v>1</v>
      </c>
      <c r="D169" s="10" t="s">
        <v>299</v>
      </c>
      <c r="E169" s="10" t="s">
        <v>457</v>
      </c>
      <c r="F169" s="10">
        <v>1</v>
      </c>
      <c r="G169" s="15" t="s">
        <v>301</v>
      </c>
      <c r="H169" s="15" t="s">
        <v>420</v>
      </c>
      <c r="I169" s="15">
        <v>2</v>
      </c>
      <c r="J169" s="10" t="s">
        <v>121</v>
      </c>
      <c r="K169" s="15" t="s">
        <v>121</v>
      </c>
      <c r="L169" s="15">
        <v>0</v>
      </c>
      <c r="M169" s="15" t="s">
        <v>121</v>
      </c>
      <c r="N169" s="15" t="s">
        <v>121</v>
      </c>
      <c r="O169" s="15">
        <v>0</v>
      </c>
      <c r="P169" s="9">
        <v>80</v>
      </c>
      <c r="Q169" s="1">
        <v>16</v>
      </c>
      <c r="R169" s="10">
        <v>91</v>
      </c>
      <c r="S169" s="15" t="s">
        <v>302</v>
      </c>
    </row>
    <row r="170" spans="1:19" ht="16">
      <c r="A170" s="26" t="s">
        <v>165</v>
      </c>
      <c r="B170" s="15" t="s">
        <v>370</v>
      </c>
      <c r="C170" s="15">
        <v>1</v>
      </c>
      <c r="D170" s="10" t="s">
        <v>303</v>
      </c>
      <c r="E170" s="10" t="s">
        <v>514</v>
      </c>
      <c r="F170" s="10">
        <v>1</v>
      </c>
      <c r="G170" s="15" t="s">
        <v>301</v>
      </c>
      <c r="H170" s="15" t="s">
        <v>420</v>
      </c>
      <c r="I170" s="15">
        <v>2</v>
      </c>
      <c r="J170" s="10" t="s">
        <v>121</v>
      </c>
      <c r="K170" s="15" t="s">
        <v>121</v>
      </c>
      <c r="L170" s="15">
        <v>0</v>
      </c>
      <c r="M170" s="15" t="s">
        <v>121</v>
      </c>
      <c r="N170" s="15" t="s">
        <v>121</v>
      </c>
      <c r="O170" s="15">
        <v>0</v>
      </c>
      <c r="P170" s="9">
        <v>80</v>
      </c>
      <c r="Q170" s="1">
        <v>16</v>
      </c>
      <c r="R170" s="10">
        <v>70</v>
      </c>
      <c r="S170" s="15" t="s">
        <v>302</v>
      </c>
    </row>
    <row r="171" spans="1:19" ht="16">
      <c r="A171" s="26" t="s">
        <v>165</v>
      </c>
      <c r="B171" s="15" t="s">
        <v>370</v>
      </c>
      <c r="C171" s="15">
        <v>1</v>
      </c>
      <c r="D171" s="10" t="s">
        <v>304</v>
      </c>
      <c r="E171" s="10" t="s">
        <v>506</v>
      </c>
      <c r="F171" s="10">
        <v>1</v>
      </c>
      <c r="G171" s="15" t="s">
        <v>301</v>
      </c>
      <c r="H171" s="15" t="s">
        <v>420</v>
      </c>
      <c r="I171" s="15">
        <v>2</v>
      </c>
      <c r="J171" s="10" t="s">
        <v>24</v>
      </c>
      <c r="K171" s="14" t="s">
        <v>380</v>
      </c>
      <c r="L171" s="15">
        <v>2</v>
      </c>
      <c r="M171" s="15" t="s">
        <v>121</v>
      </c>
      <c r="N171" s="15" t="s">
        <v>121</v>
      </c>
      <c r="O171" s="15">
        <v>0</v>
      </c>
      <c r="P171" s="9">
        <v>80</v>
      </c>
      <c r="Q171" s="1">
        <v>15</v>
      </c>
      <c r="R171" s="10">
        <v>82</v>
      </c>
      <c r="S171" s="15" t="s">
        <v>302</v>
      </c>
    </row>
    <row r="172" spans="1:19" ht="16">
      <c r="A172" s="10" t="s">
        <v>266</v>
      </c>
      <c r="B172" s="33" t="s">
        <v>530</v>
      </c>
      <c r="C172" s="15">
        <v>1.1000000000000001</v>
      </c>
      <c r="D172" s="10" t="s">
        <v>299</v>
      </c>
      <c r="E172" s="10" t="s">
        <v>457</v>
      </c>
      <c r="F172" s="10">
        <v>1</v>
      </c>
      <c r="G172" s="15" t="s">
        <v>305</v>
      </c>
      <c r="H172" s="15" t="s">
        <v>421</v>
      </c>
      <c r="I172" s="15">
        <v>0.05</v>
      </c>
      <c r="J172" s="10" t="s">
        <v>121</v>
      </c>
      <c r="K172" s="15" t="s">
        <v>121</v>
      </c>
      <c r="L172" s="15">
        <v>0</v>
      </c>
      <c r="M172" s="15" t="s">
        <v>121</v>
      </c>
      <c r="N172" s="15" t="s">
        <v>121</v>
      </c>
      <c r="O172" s="15">
        <v>0</v>
      </c>
      <c r="P172" s="9">
        <v>140</v>
      </c>
      <c r="Q172" s="1">
        <v>12</v>
      </c>
      <c r="R172" s="10">
        <v>80</v>
      </c>
      <c r="S172" s="15" t="s">
        <v>306</v>
      </c>
    </row>
    <row r="173" spans="1:19" ht="16">
      <c r="A173" s="10" t="s">
        <v>201</v>
      </c>
      <c r="B173" s="15" t="s">
        <v>369</v>
      </c>
      <c r="C173" s="15">
        <v>1.1000000000000001</v>
      </c>
      <c r="D173" s="10" t="s">
        <v>307</v>
      </c>
      <c r="E173" s="10" t="s">
        <v>492</v>
      </c>
      <c r="F173" s="10">
        <v>1</v>
      </c>
      <c r="G173" s="15" t="s">
        <v>305</v>
      </c>
      <c r="H173" s="15" t="s">
        <v>421</v>
      </c>
      <c r="I173" s="15">
        <v>0.5</v>
      </c>
      <c r="J173" s="10" t="s">
        <v>121</v>
      </c>
      <c r="K173" s="15" t="s">
        <v>121</v>
      </c>
      <c r="L173" s="15">
        <v>0</v>
      </c>
      <c r="M173" s="15" t="s">
        <v>121</v>
      </c>
      <c r="N173" s="15" t="s">
        <v>121</v>
      </c>
      <c r="O173" s="15">
        <v>0</v>
      </c>
      <c r="P173" s="9">
        <v>140</v>
      </c>
      <c r="Q173" s="1">
        <v>12</v>
      </c>
      <c r="R173" s="10">
        <v>79</v>
      </c>
      <c r="S173" s="15" t="s">
        <v>306</v>
      </c>
    </row>
    <row r="174" spans="1:19" ht="16">
      <c r="A174" s="26" t="s">
        <v>310</v>
      </c>
      <c r="B174" s="33" t="s">
        <v>540</v>
      </c>
      <c r="C174" s="17">
        <v>1</v>
      </c>
      <c r="D174" s="26" t="s">
        <v>309</v>
      </c>
      <c r="E174" s="26" t="s">
        <v>515</v>
      </c>
      <c r="F174" s="26">
        <v>2</v>
      </c>
      <c r="G174" s="17" t="s">
        <v>102</v>
      </c>
      <c r="H174" s="15" t="s">
        <v>399</v>
      </c>
      <c r="I174" s="17">
        <v>1.1000000000000001</v>
      </c>
      <c r="J174" s="26" t="s">
        <v>121</v>
      </c>
      <c r="K174" s="17" t="s">
        <v>121</v>
      </c>
      <c r="L174" s="17">
        <v>0</v>
      </c>
      <c r="M174" s="17" t="s">
        <v>22</v>
      </c>
      <c r="N174" s="58" t="s">
        <v>563</v>
      </c>
      <c r="O174" s="17">
        <v>0.5</v>
      </c>
      <c r="P174" s="11">
        <v>22</v>
      </c>
      <c r="Q174" s="50">
        <v>144</v>
      </c>
      <c r="R174" s="26">
        <v>10</v>
      </c>
      <c r="S174" s="17" t="s">
        <v>308</v>
      </c>
    </row>
    <row r="175" spans="1:19" ht="16">
      <c r="A175" s="26" t="s">
        <v>312</v>
      </c>
      <c r="B175" s="99" t="s">
        <v>541</v>
      </c>
      <c r="C175" s="17">
        <v>1</v>
      </c>
      <c r="D175" s="26" t="s">
        <v>171</v>
      </c>
      <c r="E175" s="26" t="s">
        <v>466</v>
      </c>
      <c r="F175" s="26">
        <v>1.2</v>
      </c>
      <c r="G175" s="17" t="s">
        <v>38</v>
      </c>
      <c r="H175" s="17" t="s">
        <v>398</v>
      </c>
      <c r="I175" s="17">
        <v>1.2</v>
      </c>
      <c r="J175" s="26" t="s">
        <v>27</v>
      </c>
      <c r="K175" s="16" t="s">
        <v>379</v>
      </c>
      <c r="L175" s="17">
        <v>2</v>
      </c>
      <c r="M175" s="17" t="s">
        <v>16</v>
      </c>
      <c r="N175" s="16" t="s">
        <v>562</v>
      </c>
      <c r="O175" s="17">
        <v>0.25</v>
      </c>
      <c r="P175" s="11">
        <v>25</v>
      </c>
      <c r="Q175" s="50">
        <v>24</v>
      </c>
      <c r="R175" s="26">
        <v>20</v>
      </c>
      <c r="S175" s="17" t="s">
        <v>311</v>
      </c>
    </row>
    <row r="176" spans="1:19" ht="16">
      <c r="A176" s="26" t="s">
        <v>313</v>
      </c>
      <c r="B176" s="95" t="s">
        <v>542</v>
      </c>
      <c r="C176" s="17">
        <v>1</v>
      </c>
      <c r="D176" s="26" t="s">
        <v>314</v>
      </c>
      <c r="E176" s="26" t="s">
        <v>485</v>
      </c>
      <c r="F176" s="26">
        <v>1</v>
      </c>
      <c r="G176" s="17" t="s">
        <v>296</v>
      </c>
      <c r="H176" s="16" t="s">
        <v>394</v>
      </c>
      <c r="I176" s="17">
        <v>1.5</v>
      </c>
      <c r="J176" s="26" t="s">
        <v>121</v>
      </c>
      <c r="K176" s="17" t="s">
        <v>121</v>
      </c>
      <c r="L176" s="17">
        <v>0</v>
      </c>
      <c r="M176" s="17" t="s">
        <v>40</v>
      </c>
      <c r="N176" s="16" t="s">
        <v>423</v>
      </c>
      <c r="O176" s="17">
        <v>0.5</v>
      </c>
      <c r="P176" s="11">
        <v>25</v>
      </c>
      <c r="Q176" s="50">
        <v>12</v>
      </c>
      <c r="R176" s="26">
        <v>24</v>
      </c>
      <c r="S176" s="17" t="s">
        <v>315</v>
      </c>
    </row>
    <row r="177" spans="1:19" ht="16">
      <c r="A177" s="26" t="s">
        <v>319</v>
      </c>
      <c r="B177" s="15" t="s">
        <v>454</v>
      </c>
      <c r="C177" s="17">
        <v>1</v>
      </c>
      <c r="D177" s="26" t="s">
        <v>318</v>
      </c>
      <c r="E177" s="26" t="s">
        <v>485</v>
      </c>
      <c r="F177" s="26">
        <v>0.7</v>
      </c>
      <c r="G177" s="17" t="s">
        <v>77</v>
      </c>
      <c r="H177" s="16" t="s">
        <v>391</v>
      </c>
      <c r="I177" s="17">
        <v>1</v>
      </c>
      <c r="J177" s="26" t="s">
        <v>24</v>
      </c>
      <c r="K177" s="16" t="s">
        <v>380</v>
      </c>
      <c r="L177" s="17">
        <v>1</v>
      </c>
      <c r="M177" s="17" t="s">
        <v>317</v>
      </c>
      <c r="N177" s="17" t="s">
        <v>424</v>
      </c>
      <c r="O177" s="17">
        <v>0.3</v>
      </c>
      <c r="P177" s="11">
        <v>90</v>
      </c>
      <c r="Q177" s="50">
        <v>12</v>
      </c>
      <c r="R177" s="26">
        <v>34</v>
      </c>
      <c r="S177" s="17" t="s">
        <v>316</v>
      </c>
    </row>
    <row r="178" spans="1:19" ht="16">
      <c r="A178" s="26" t="s">
        <v>323</v>
      </c>
      <c r="B178" s="33" t="s">
        <v>543</v>
      </c>
      <c r="C178" s="17">
        <v>1</v>
      </c>
      <c r="D178" s="26" t="s">
        <v>322</v>
      </c>
      <c r="E178" s="26" t="s">
        <v>484</v>
      </c>
      <c r="F178" s="26">
        <v>3</v>
      </c>
      <c r="G178" s="17" t="s">
        <v>321</v>
      </c>
      <c r="H178" s="16" t="s">
        <v>394</v>
      </c>
      <c r="I178" s="17">
        <v>1.7</v>
      </c>
      <c r="J178" s="26" t="s">
        <v>24</v>
      </c>
      <c r="K178" s="16" t="s">
        <v>380</v>
      </c>
      <c r="L178" s="17">
        <v>4</v>
      </c>
      <c r="M178" s="17" t="s">
        <v>16</v>
      </c>
      <c r="N178" s="58" t="s">
        <v>562</v>
      </c>
      <c r="O178" s="17">
        <v>0.1</v>
      </c>
      <c r="P178" s="11">
        <v>25</v>
      </c>
      <c r="Q178" s="50">
        <v>12</v>
      </c>
      <c r="R178" s="26">
        <v>40</v>
      </c>
      <c r="S178" s="17" t="s">
        <v>320</v>
      </c>
    </row>
    <row r="179" spans="1:19" ht="16">
      <c r="A179" s="26" t="s">
        <v>325</v>
      </c>
      <c r="B179" s="33" t="s">
        <v>544</v>
      </c>
      <c r="C179" s="17">
        <v>1</v>
      </c>
      <c r="D179" s="26" t="s">
        <v>324</v>
      </c>
      <c r="E179" s="26" t="s">
        <v>483</v>
      </c>
      <c r="F179" s="26">
        <v>1.2</v>
      </c>
      <c r="G179" s="17" t="s">
        <v>59</v>
      </c>
      <c r="H179" s="16" t="s">
        <v>390</v>
      </c>
      <c r="I179" s="17">
        <v>1.2</v>
      </c>
      <c r="J179" s="44" t="s">
        <v>196</v>
      </c>
      <c r="K179" s="16" t="s">
        <v>381</v>
      </c>
      <c r="L179" s="17">
        <v>1.2</v>
      </c>
      <c r="M179" s="17" t="s">
        <v>16</v>
      </c>
      <c r="N179" s="58" t="s">
        <v>562</v>
      </c>
      <c r="O179" s="17">
        <v>0.5</v>
      </c>
      <c r="P179" s="11">
        <v>21</v>
      </c>
      <c r="Q179" s="50">
        <v>16</v>
      </c>
      <c r="R179" s="26">
        <v>45</v>
      </c>
      <c r="S179" s="17" t="s">
        <v>33</v>
      </c>
    </row>
    <row r="180" spans="1:19" ht="16">
      <c r="A180" s="26" t="s">
        <v>329</v>
      </c>
      <c r="B180" s="15" t="s">
        <v>370</v>
      </c>
      <c r="C180" s="17">
        <v>1</v>
      </c>
      <c r="D180" s="26" t="s">
        <v>328</v>
      </c>
      <c r="E180" s="44" t="s">
        <v>457</v>
      </c>
      <c r="F180" s="26">
        <v>1</v>
      </c>
      <c r="G180" s="17" t="s">
        <v>327</v>
      </c>
      <c r="H180" s="17" t="s">
        <v>422</v>
      </c>
      <c r="I180" s="17">
        <v>1</v>
      </c>
      <c r="J180" s="26" t="s">
        <v>24</v>
      </c>
      <c r="K180" s="16" t="s">
        <v>380</v>
      </c>
      <c r="L180" s="17">
        <v>2.2000000000000002</v>
      </c>
      <c r="M180" s="17" t="s">
        <v>40</v>
      </c>
      <c r="N180" s="16" t="s">
        <v>423</v>
      </c>
      <c r="O180" s="17">
        <v>2</v>
      </c>
      <c r="P180" s="11">
        <v>25</v>
      </c>
      <c r="Q180" s="50">
        <v>3</v>
      </c>
      <c r="R180" s="26">
        <v>48</v>
      </c>
      <c r="S180" s="17" t="s">
        <v>326</v>
      </c>
    </row>
    <row r="181" spans="1:19" ht="16">
      <c r="A181" s="26" t="s">
        <v>333</v>
      </c>
      <c r="B181" s="33" t="s">
        <v>545</v>
      </c>
      <c r="C181" s="17">
        <v>1</v>
      </c>
      <c r="D181" s="26" t="s">
        <v>332</v>
      </c>
      <c r="E181" s="26" t="s">
        <v>481</v>
      </c>
      <c r="F181" s="26">
        <v>1.1000000000000001</v>
      </c>
      <c r="G181" s="17" t="s">
        <v>59</v>
      </c>
      <c r="H181" s="16" t="s">
        <v>390</v>
      </c>
      <c r="I181" s="17">
        <v>1.1000000000000001</v>
      </c>
      <c r="J181" s="26" t="s">
        <v>331</v>
      </c>
      <c r="K181" s="17" t="s">
        <v>383</v>
      </c>
      <c r="L181" s="17">
        <v>1.6</v>
      </c>
      <c r="M181" s="17" t="s">
        <v>22</v>
      </c>
      <c r="N181" s="58" t="s">
        <v>563</v>
      </c>
      <c r="O181" s="17">
        <v>0.25</v>
      </c>
      <c r="P181" s="11">
        <v>25</v>
      </c>
      <c r="Q181" s="50">
        <v>48</v>
      </c>
      <c r="R181" s="26">
        <v>48</v>
      </c>
      <c r="S181" s="17" t="s">
        <v>330</v>
      </c>
    </row>
    <row r="182" spans="1:19" ht="16">
      <c r="A182" s="26" t="s">
        <v>336</v>
      </c>
      <c r="B182" s="33" t="s">
        <v>546</v>
      </c>
      <c r="C182" s="17">
        <v>1</v>
      </c>
      <c r="D182" s="26" t="s">
        <v>335</v>
      </c>
      <c r="E182" s="26" t="s">
        <v>480</v>
      </c>
      <c r="F182" s="26">
        <v>1</v>
      </c>
      <c r="G182" s="17" t="s">
        <v>59</v>
      </c>
      <c r="H182" s="16" t="s">
        <v>390</v>
      </c>
      <c r="I182" s="17">
        <v>2</v>
      </c>
      <c r="J182" s="26" t="s">
        <v>121</v>
      </c>
      <c r="K182" s="17" t="s">
        <v>121</v>
      </c>
      <c r="L182" s="17">
        <v>0</v>
      </c>
      <c r="M182" s="17" t="s">
        <v>40</v>
      </c>
      <c r="N182" s="16" t="s">
        <v>423</v>
      </c>
      <c r="O182" s="17">
        <v>0.5</v>
      </c>
      <c r="P182" s="26">
        <v>25</v>
      </c>
      <c r="Q182" s="17">
        <v>16</v>
      </c>
      <c r="R182" s="26">
        <v>49</v>
      </c>
      <c r="S182" s="17" t="s">
        <v>334</v>
      </c>
    </row>
    <row r="183" spans="1:19" ht="16">
      <c r="A183" s="26" t="s">
        <v>312</v>
      </c>
      <c r="B183" s="33" t="s">
        <v>541</v>
      </c>
      <c r="C183" s="17">
        <v>1</v>
      </c>
      <c r="D183" s="26" t="s">
        <v>27</v>
      </c>
      <c r="E183" s="20" t="s">
        <v>379</v>
      </c>
      <c r="F183" s="26">
        <v>1.2</v>
      </c>
      <c r="G183" s="17" t="s">
        <v>38</v>
      </c>
      <c r="H183" s="17" t="s">
        <v>398</v>
      </c>
      <c r="I183" s="17">
        <v>1.2</v>
      </c>
      <c r="J183" s="26" t="s">
        <v>27</v>
      </c>
      <c r="K183" s="16" t="s">
        <v>379</v>
      </c>
      <c r="L183" s="17">
        <v>2</v>
      </c>
      <c r="M183" s="17" t="s">
        <v>16</v>
      </c>
      <c r="N183" s="58" t="s">
        <v>562</v>
      </c>
      <c r="O183" s="17">
        <v>0.25</v>
      </c>
      <c r="P183" s="26">
        <v>25</v>
      </c>
      <c r="Q183" s="17">
        <v>24</v>
      </c>
      <c r="R183" s="26">
        <v>50</v>
      </c>
      <c r="S183" s="17" t="s">
        <v>337</v>
      </c>
    </row>
    <row r="184" spans="1:19" ht="16">
      <c r="A184" s="21" t="s">
        <v>338</v>
      </c>
      <c r="B184" s="33" t="s">
        <v>547</v>
      </c>
      <c r="C184" s="29">
        <v>2</v>
      </c>
      <c r="D184" s="21" t="s">
        <v>324</v>
      </c>
      <c r="E184" s="26" t="s">
        <v>483</v>
      </c>
      <c r="F184" s="21">
        <v>1.2</v>
      </c>
      <c r="G184" s="29" t="s">
        <v>59</v>
      </c>
      <c r="H184" s="16" t="s">
        <v>390</v>
      </c>
      <c r="I184" s="29">
        <v>1.2</v>
      </c>
      <c r="J184" s="44" t="s">
        <v>196</v>
      </c>
      <c r="K184" s="16" t="s">
        <v>381</v>
      </c>
      <c r="L184" s="29">
        <v>1.2</v>
      </c>
      <c r="M184" s="29" t="s">
        <v>16</v>
      </c>
      <c r="N184" s="58" t="s">
        <v>562</v>
      </c>
      <c r="O184" s="29">
        <v>0.5</v>
      </c>
      <c r="P184" s="21">
        <v>21</v>
      </c>
      <c r="Q184" s="29">
        <v>16</v>
      </c>
      <c r="R184" s="21">
        <v>35</v>
      </c>
      <c r="S184" s="29" t="s">
        <v>339</v>
      </c>
    </row>
    <row r="185" spans="1:19" ht="16">
      <c r="A185" s="22" t="s">
        <v>329</v>
      </c>
      <c r="B185" s="15" t="s">
        <v>370</v>
      </c>
      <c r="C185" s="30">
        <v>1</v>
      </c>
      <c r="D185" s="22" t="s">
        <v>328</v>
      </c>
      <c r="E185" s="44" t="s">
        <v>457</v>
      </c>
      <c r="F185" s="22">
        <v>1</v>
      </c>
      <c r="G185" s="30" t="s">
        <v>327</v>
      </c>
      <c r="H185" s="30" t="s">
        <v>422</v>
      </c>
      <c r="I185" s="30">
        <v>1</v>
      </c>
      <c r="J185" s="22" t="s">
        <v>24</v>
      </c>
      <c r="K185" s="16" t="s">
        <v>380</v>
      </c>
      <c r="L185" s="30">
        <v>2.2000000000000002</v>
      </c>
      <c r="M185" s="30" t="s">
        <v>340</v>
      </c>
      <c r="N185" s="49" t="s">
        <v>434</v>
      </c>
      <c r="O185" s="30">
        <v>2</v>
      </c>
      <c r="P185" s="22">
        <v>25</v>
      </c>
      <c r="Q185" s="30">
        <v>3</v>
      </c>
      <c r="R185" s="22">
        <v>56</v>
      </c>
      <c r="S185" s="30" t="s">
        <v>326</v>
      </c>
    </row>
    <row r="186" spans="1:19" ht="16">
      <c r="A186" s="22" t="s">
        <v>341</v>
      </c>
      <c r="B186" s="33" t="s">
        <v>548</v>
      </c>
      <c r="C186" s="30">
        <v>1</v>
      </c>
      <c r="D186" s="22" t="s">
        <v>342</v>
      </c>
      <c r="E186" s="26" t="s">
        <v>482</v>
      </c>
      <c r="F186" s="22">
        <v>1.1000000000000001</v>
      </c>
      <c r="G186" s="30" t="s">
        <v>77</v>
      </c>
      <c r="H186" s="16" t="s">
        <v>391</v>
      </c>
      <c r="I186" s="30">
        <v>1.2</v>
      </c>
      <c r="J186" s="22" t="s">
        <v>24</v>
      </c>
      <c r="K186" s="16" t="s">
        <v>380</v>
      </c>
      <c r="L186" s="30">
        <v>2.2000000000000002</v>
      </c>
      <c r="M186" s="17" t="s">
        <v>22</v>
      </c>
      <c r="N186" s="58" t="s">
        <v>563</v>
      </c>
      <c r="O186" s="30">
        <v>0.25</v>
      </c>
      <c r="P186" s="22">
        <v>25</v>
      </c>
      <c r="Q186" s="30">
        <v>16</v>
      </c>
      <c r="R186" s="22">
        <v>15</v>
      </c>
      <c r="S186" s="30" t="s">
        <v>343</v>
      </c>
    </row>
    <row r="187" spans="1:19" ht="16">
      <c r="A187" s="22" t="s">
        <v>344</v>
      </c>
      <c r="B187" s="33" t="s">
        <v>549</v>
      </c>
      <c r="C187" s="30">
        <v>1</v>
      </c>
      <c r="D187" s="22" t="s">
        <v>345</v>
      </c>
      <c r="E187" s="26" t="s">
        <v>480</v>
      </c>
      <c r="F187" s="22">
        <v>1</v>
      </c>
      <c r="G187" s="30" t="s">
        <v>105</v>
      </c>
      <c r="H187" s="16" t="s">
        <v>393</v>
      </c>
      <c r="I187" s="30">
        <v>1</v>
      </c>
      <c r="J187" s="22" t="s">
        <v>121</v>
      </c>
      <c r="K187" s="17" t="s">
        <v>121</v>
      </c>
      <c r="L187" s="30">
        <v>0</v>
      </c>
      <c r="M187" s="17" t="s">
        <v>22</v>
      </c>
      <c r="N187" s="58" t="s">
        <v>563</v>
      </c>
      <c r="O187" s="30">
        <v>6</v>
      </c>
      <c r="P187" s="22">
        <v>60</v>
      </c>
      <c r="Q187" s="30">
        <v>8</v>
      </c>
      <c r="R187" s="22">
        <v>42</v>
      </c>
      <c r="S187" s="30" t="s">
        <v>346</v>
      </c>
    </row>
    <row r="188" spans="1:19" ht="16">
      <c r="A188" s="22" t="s">
        <v>347</v>
      </c>
      <c r="B188" s="33" t="s">
        <v>550</v>
      </c>
      <c r="C188" s="30">
        <v>1</v>
      </c>
      <c r="D188" s="22" t="s">
        <v>348</v>
      </c>
      <c r="E188" s="26" t="s">
        <v>478</v>
      </c>
      <c r="F188" s="22">
        <v>2</v>
      </c>
      <c r="G188" s="30" t="s">
        <v>296</v>
      </c>
      <c r="H188" s="16" t="s">
        <v>394</v>
      </c>
      <c r="I188" s="30">
        <v>1</v>
      </c>
      <c r="J188" s="22" t="s">
        <v>349</v>
      </c>
      <c r="K188" s="30" t="s">
        <v>388</v>
      </c>
      <c r="L188" s="30">
        <v>1</v>
      </c>
      <c r="M188" s="17" t="s">
        <v>22</v>
      </c>
      <c r="N188" s="58" t="s">
        <v>563</v>
      </c>
      <c r="O188" s="30">
        <v>1</v>
      </c>
      <c r="P188" s="22">
        <v>50</v>
      </c>
      <c r="Q188" s="30">
        <v>24</v>
      </c>
      <c r="R188" s="22">
        <v>35</v>
      </c>
      <c r="S188" s="30" t="s">
        <v>350</v>
      </c>
    </row>
    <row r="189" spans="1:19" ht="16">
      <c r="A189" s="23" t="s">
        <v>329</v>
      </c>
      <c r="B189" s="15" t="s">
        <v>370</v>
      </c>
      <c r="C189" s="31">
        <v>1</v>
      </c>
      <c r="D189" s="23" t="s">
        <v>328</v>
      </c>
      <c r="E189" s="44" t="s">
        <v>457</v>
      </c>
      <c r="F189" s="23">
        <v>1</v>
      </c>
      <c r="G189" s="31" t="s">
        <v>327</v>
      </c>
      <c r="H189" s="31" t="s">
        <v>422</v>
      </c>
      <c r="I189" s="31">
        <v>1</v>
      </c>
      <c r="J189" s="23" t="s">
        <v>24</v>
      </c>
      <c r="K189" s="16" t="s">
        <v>380</v>
      </c>
      <c r="L189" s="31">
        <v>2.2000000000000002</v>
      </c>
      <c r="M189" s="17" t="s">
        <v>22</v>
      </c>
      <c r="N189" s="58" t="s">
        <v>563</v>
      </c>
      <c r="O189" s="31">
        <v>2</v>
      </c>
      <c r="P189" s="23">
        <v>25</v>
      </c>
      <c r="Q189" s="31">
        <v>3</v>
      </c>
      <c r="R189" s="23">
        <v>85</v>
      </c>
      <c r="S189" s="53" t="s">
        <v>326</v>
      </c>
    </row>
    <row r="190" spans="1:19" ht="16">
      <c r="A190" s="77" t="s">
        <v>580</v>
      </c>
      <c r="B190" s="78" t="s">
        <v>581</v>
      </c>
      <c r="C190" s="77">
        <v>1</v>
      </c>
      <c r="D190" s="77" t="s">
        <v>582</v>
      </c>
      <c r="E190" s="77" t="s">
        <v>583</v>
      </c>
      <c r="F190" s="77">
        <v>2</v>
      </c>
      <c r="G190" s="77" t="s">
        <v>15</v>
      </c>
      <c r="H190" s="79" t="s">
        <v>392</v>
      </c>
      <c r="I190" s="77">
        <v>1.1000000000000001</v>
      </c>
      <c r="J190" s="77" t="s">
        <v>27</v>
      </c>
      <c r="K190" s="80" t="s">
        <v>379</v>
      </c>
      <c r="L190" s="77">
        <v>2</v>
      </c>
      <c r="M190" s="77" t="s">
        <v>16</v>
      </c>
      <c r="N190" s="81" t="s">
        <v>562</v>
      </c>
      <c r="O190" s="77">
        <v>0.06</v>
      </c>
      <c r="P190" s="77">
        <v>25</v>
      </c>
      <c r="Q190" s="77">
        <v>24</v>
      </c>
      <c r="R190" s="77">
        <v>52</v>
      </c>
      <c r="S190" s="77" t="s">
        <v>43</v>
      </c>
    </row>
    <row r="191" spans="1:19" ht="16">
      <c r="A191" s="77" t="s">
        <v>584</v>
      </c>
      <c r="B191" s="78" t="s">
        <v>585</v>
      </c>
      <c r="C191" s="77">
        <v>1.5</v>
      </c>
      <c r="D191" s="77" t="s">
        <v>182</v>
      </c>
      <c r="E191" s="82" t="s">
        <v>469</v>
      </c>
      <c r="F191" s="77">
        <v>1</v>
      </c>
      <c r="G191" s="77" t="s">
        <v>105</v>
      </c>
      <c r="H191" s="81" t="s">
        <v>393</v>
      </c>
      <c r="I191" s="77">
        <v>1.2</v>
      </c>
      <c r="J191" s="77" t="s">
        <v>121</v>
      </c>
      <c r="K191" s="77" t="s">
        <v>121</v>
      </c>
      <c r="L191" s="77">
        <v>0</v>
      </c>
      <c r="M191" s="77" t="s">
        <v>16</v>
      </c>
      <c r="N191" s="81" t="s">
        <v>562</v>
      </c>
      <c r="O191" s="77">
        <v>1</v>
      </c>
      <c r="P191" s="77">
        <v>25</v>
      </c>
      <c r="Q191" s="77">
        <v>24</v>
      </c>
      <c r="R191" s="77">
        <v>48</v>
      </c>
      <c r="S191" s="77" t="s">
        <v>586</v>
      </c>
    </row>
  </sheetData>
  <hyperlinks>
    <hyperlink ref="S2" r:id="rId1" tooltip="Link to landing page via DOI" xr:uid="{3666B004-BEFA-3F43-A97F-0C47D7582209}"/>
    <hyperlink ref="S3" r:id="rId2" tooltip="DOI URL" xr:uid="{D9AAE69C-61E0-E846-9F0B-01B6D31350AD}"/>
    <hyperlink ref="S4" r:id="rId3" xr:uid="{7AA6A522-B082-9E4A-BC52-0A7EF5A76357}"/>
    <hyperlink ref="S5" r:id="rId4" xr:uid="{4FC889DA-1EE3-E446-92EF-DC206A91F64A}"/>
    <hyperlink ref="S6" r:id="rId5" xr:uid="{AA57A89A-66A2-7C4D-8A13-A22DB0200C06}"/>
    <hyperlink ref="S9" r:id="rId6" xr:uid="{B53FC764-8FA9-9C49-8491-AFBECBCA9B7C}"/>
    <hyperlink ref="S10" r:id="rId7" xr:uid="{A12847B4-A201-FC44-AF1E-0EC7D8540A01}"/>
    <hyperlink ref="S12" r:id="rId8" tooltip="DOI URL" xr:uid="{262DC14E-CA6F-7A44-9A0A-5ED01D8315C8}"/>
    <hyperlink ref="S13" r:id="rId9" tooltip="Persistent link using digital object identifier" xr:uid="{A11EC739-BE67-4C4E-B031-F364B81E460B}"/>
    <hyperlink ref="S15" r:id="rId10" xr:uid="{1409C6EC-C6A2-1B48-8731-5E51E50F7BF8}"/>
    <hyperlink ref="S16" r:id="rId11" tooltip="DOI URL" xr:uid="{DAF603F9-69BE-CA47-8B92-E0A5FA0519D3}"/>
    <hyperlink ref="S18" r:id="rId12" tooltip="Link to landing page via DOI" xr:uid="{9B0613A8-7971-0242-AB02-AF7D284988AB}"/>
    <hyperlink ref="S19" r:id="rId13" tooltip="Link to landing page via DOI" xr:uid="{078F6F09-6AE4-CC40-AF8E-BB2F00F8113B}"/>
    <hyperlink ref="S20" r:id="rId14" tooltip="DOI URL" xr:uid="{BEFBCE27-B48B-6C4C-9A37-7D18199C1252}"/>
    <hyperlink ref="S22" r:id="rId15" tooltip="DOI URL" xr:uid="{2DF1113D-6565-B840-95D8-D0384D9AEC5F}"/>
    <hyperlink ref="S24" r:id="rId16" tooltip="DOI URL" xr:uid="{0DBA1343-56EB-AB47-B118-7EB59EE02436}"/>
    <hyperlink ref="S76" r:id="rId17" xr:uid="{87069376-15AD-7943-B68C-15FC4D249AB0}"/>
    <hyperlink ref="S66" r:id="rId18" xr:uid="{F62F1CD9-13EF-2845-A72C-06955E615540}"/>
    <hyperlink ref="S88" r:id="rId19" xr:uid="{3A9FD71A-7079-AC40-9004-B5FDC9D3AEE4}"/>
    <hyperlink ref="S91" r:id="rId20" xr:uid="{B58C044B-049E-8F44-91C6-0913C893B0A5}"/>
    <hyperlink ref="S94" r:id="rId21" xr:uid="{469A734D-35CD-7F4C-A16F-C2F5F8B7C978}"/>
    <hyperlink ref="S124" r:id="rId22" xr:uid="{DC493327-BCFF-F847-908A-D7E4AB3EE5F7}"/>
    <hyperlink ref="S129" r:id="rId23" xr:uid="{398CEC69-E583-6843-8CD1-7CB0D2050BB3}"/>
    <hyperlink ref="S130:S133" r:id="rId24" display="https://pubs.acs.org/doi/10.1021/acs.orglett.0c01676." xr:uid="{7C33171E-378E-9744-A92B-7E015E0B9235}"/>
    <hyperlink ref="S134" r:id="rId25" xr:uid="{C278AD50-42DC-4542-B30A-738320D723FC}"/>
    <hyperlink ref="S135:S138" r:id="rId26" display="https://doi.org/10.1039/D3QO01705B" xr:uid="{81BAC1E6-0694-CB4E-B13F-8EBC00EEF405}"/>
    <hyperlink ref="S143" r:id="rId27" xr:uid="{C99A001C-E7D0-EC49-8434-7354FF8A946E}"/>
    <hyperlink ref="S144" r:id="rId28" xr:uid="{7525966A-E778-754F-BC88-69F406C9CF5D}"/>
    <hyperlink ref="S145" r:id="rId29" xr:uid="{7522F4FC-F452-5649-837C-97068061A72A}"/>
    <hyperlink ref="S146" r:id="rId30" xr:uid="{0A7036C1-77E3-5242-8163-A97440250EF8}"/>
    <hyperlink ref="S147" r:id="rId31" xr:uid="{96E3EA32-C0DC-694C-A497-933C9D792E2E}"/>
    <hyperlink ref="S148" r:id="rId32" xr:uid="{28B861CA-B272-F54D-ABB4-AEAF118DC80F}"/>
    <hyperlink ref="S140" r:id="rId33" xr:uid="{4DF2D1E3-46D8-6F4B-BA2A-F9B7D4C51979}"/>
    <hyperlink ref="S139" r:id="rId34" xr:uid="{0F372454-8C66-4D4D-A89D-77DE8D514CEA}"/>
    <hyperlink ref="S141" r:id="rId35" xr:uid="{1414F559-1ABD-FD4A-9785-F31DA2EA7DA7}"/>
    <hyperlink ref="S142" r:id="rId36" xr:uid="{F1E884A8-E4B3-864A-A755-1BADE0026870}"/>
    <hyperlink ref="S149" r:id="rId37" xr:uid="{B57F18D3-150A-7642-8E12-475FF10841B3}"/>
    <hyperlink ref="S150" r:id="rId38" xr:uid="{5F29BA0D-6867-5D4A-B32C-640F6E2B5FB0}"/>
    <hyperlink ref="S151" r:id="rId39" xr:uid="{FE4D9C09-39C0-E940-9455-C8A8DC625786}"/>
    <hyperlink ref="S152" r:id="rId40" xr:uid="{D55C8A69-ACA3-6B4F-A79C-1D847B3925EF}"/>
    <hyperlink ref="S153" r:id="rId41" xr:uid="{60E8555E-C4DF-0146-8C18-A7AEA4FC22DA}"/>
    <hyperlink ref="S125" r:id="rId42" xr:uid="{BDC6AADD-248C-0948-B966-B93EA130A095}"/>
    <hyperlink ref="S126" r:id="rId43" xr:uid="{884DC545-A66C-C146-A801-42BB7D5CB8F9}"/>
    <hyperlink ref="S127" r:id="rId44" xr:uid="{4DF0F722-D1BD-9A45-A45F-F69A98DC29B5}"/>
    <hyperlink ref="S128" r:id="rId45" xr:uid="{A16BAC01-3992-F145-ABFC-D6770699D9F2}"/>
    <hyperlink ref="S178" r:id="rId46" xr:uid="{2C32F61B-C2E0-9041-83D1-68EE2D6A1716}"/>
    <hyperlink ref="S179" r:id="rId47" xr:uid="{8B170FA4-988A-624C-A4A0-B81AF7BD8728}"/>
    <hyperlink ref="S180" r:id="rId48" xr:uid="{E0B11501-142B-4C44-A873-2A22C2192188}"/>
    <hyperlink ref="S182" r:id="rId49" xr:uid="{8BA4A5EB-139F-E340-BD77-E875CB450167}"/>
    <hyperlink ref="S183" r:id="rId50" display="https://doi.org/10.1016/j.tet.2008.09.094" xr:uid="{9587162F-6ED3-A542-AA5E-DD2497E05A26}"/>
    <hyperlink ref="S184" r:id="rId51" display="https://doi.org/10.1111/cbdd.13039" xr:uid="{8C1ABDDC-05A8-0442-8E44-73787AA8E307}"/>
    <hyperlink ref="S185" r:id="rId52" xr:uid="{4FBE0079-8D4C-994A-94D0-E1A4F6F32E28}"/>
    <hyperlink ref="S188" r:id="rId53" tooltip="DOI URL" xr:uid="{E18999C2-F030-E54B-8A0E-96E9A554ACBD}"/>
    <hyperlink ref="S189" r:id="rId54" xr:uid="{7C53FEFB-78B3-8E4A-8372-69C0B70F204E}"/>
    <hyperlink ref="S190" r:id="rId55" tooltip="DOI URL" xr:uid="{6BECE416-424F-3340-BD36-110BFD2DCB0C}"/>
    <hyperlink ref="S191" r:id="rId56" display="https://doi.org/10.1016/j.bmc.2017.05.015" xr:uid="{BF4FE7AA-AC56-2841-B364-6FAA1CDBD20E}"/>
    <hyperlink ref="S175" r:id="rId57" display="https://doi.org/10.1016/j.tet.2008.09.094" xr:uid="{FD8B9222-EB36-DF42-91E7-5EF1D00358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9BF-E016-4CEF-B727-8A498B5100EE}">
  <dimension ref="A1:T265"/>
  <sheetViews>
    <sheetView topLeftCell="N168" workbookViewId="0">
      <selection activeCell="R197" sqref="R190:R197"/>
    </sheetView>
  </sheetViews>
  <sheetFormatPr baseColWidth="10" defaultColWidth="8.83203125" defaultRowHeight="16"/>
  <cols>
    <col min="1" max="1" width="103" style="38" customWidth="1"/>
    <col min="2" max="2" width="57.33203125" style="32" customWidth="1"/>
    <col min="3" max="3" width="15.1640625" style="32" customWidth="1"/>
    <col min="4" max="4" width="69.1640625" style="38" customWidth="1"/>
    <col min="5" max="5" width="25.5" style="10" customWidth="1"/>
    <col min="6" max="6" width="17.33203125" style="38" customWidth="1"/>
    <col min="7" max="7" width="35.5" style="32" customWidth="1"/>
    <col min="8" max="8" width="62.5" style="35" customWidth="1"/>
    <col min="9" max="9" width="20.33203125" style="32" customWidth="1"/>
    <col min="10" max="10" width="44.83203125" style="38" bestFit="1" customWidth="1"/>
    <col min="11" max="11" width="44.83203125" style="33" customWidth="1"/>
    <col min="12" max="12" width="15.6640625" style="32" customWidth="1"/>
    <col min="13" max="13" width="34.33203125" style="32" customWidth="1"/>
    <col min="14" max="14" width="64.83203125" style="15" customWidth="1"/>
    <col min="15" max="15" width="19.1640625" style="32" customWidth="1"/>
    <col min="16" max="16" width="11.33203125" style="28" customWidth="1"/>
    <col min="17" max="17" width="10.33203125" customWidth="1"/>
    <col min="18" max="18" width="15.5" style="38" bestFit="1" customWidth="1"/>
    <col min="19" max="19" width="103.1640625" style="38" bestFit="1" customWidth="1"/>
    <col min="20" max="20" width="8.83203125" style="38"/>
  </cols>
  <sheetData>
    <row r="1" spans="1:19">
      <c r="A1" s="25" t="s">
        <v>0</v>
      </c>
      <c r="B1" s="33"/>
      <c r="C1" s="13" t="s">
        <v>1</v>
      </c>
      <c r="D1" s="25" t="s">
        <v>2</v>
      </c>
      <c r="F1" s="25" t="s">
        <v>3</v>
      </c>
      <c r="G1" s="13" t="s">
        <v>4</v>
      </c>
      <c r="H1" s="13"/>
      <c r="I1" s="13" t="s">
        <v>5</v>
      </c>
      <c r="J1" s="25" t="s">
        <v>6</v>
      </c>
      <c r="K1" s="13"/>
      <c r="L1" s="13" t="s">
        <v>7</v>
      </c>
      <c r="M1" s="13" t="s">
        <v>8</v>
      </c>
      <c r="N1" s="13"/>
      <c r="O1" s="13" t="s">
        <v>9</v>
      </c>
      <c r="P1" s="7" t="s">
        <v>10</v>
      </c>
      <c r="Q1" s="8" t="s">
        <v>11</v>
      </c>
      <c r="R1" s="52" t="s">
        <v>217</v>
      </c>
      <c r="S1" s="13" t="s">
        <v>12</v>
      </c>
    </row>
    <row r="2" spans="1:19">
      <c r="A2" s="10" t="s">
        <v>13</v>
      </c>
      <c r="B2" s="33" t="s">
        <v>365</v>
      </c>
      <c r="C2" s="15">
        <v>1</v>
      </c>
      <c r="D2" s="10" t="s">
        <v>14</v>
      </c>
      <c r="E2" s="10" t="s">
        <v>382</v>
      </c>
      <c r="F2" s="10">
        <v>1.1000000000000001</v>
      </c>
      <c r="G2" s="15" t="s">
        <v>15</v>
      </c>
      <c r="H2" s="15" t="s">
        <v>392</v>
      </c>
      <c r="I2" s="15">
        <v>1.1000000000000001</v>
      </c>
      <c r="J2" s="10" t="s">
        <v>14</v>
      </c>
      <c r="K2" s="15" t="s">
        <v>382</v>
      </c>
      <c r="L2" s="15">
        <v>1</v>
      </c>
      <c r="M2" s="15" t="s">
        <v>16</v>
      </c>
      <c r="N2" s="58" t="s">
        <v>562</v>
      </c>
      <c r="O2" s="15">
        <v>0.6</v>
      </c>
      <c r="P2" s="9">
        <v>25</v>
      </c>
      <c r="Q2" s="1">
        <v>2</v>
      </c>
      <c r="R2" s="10">
        <v>96</v>
      </c>
      <c r="S2" s="15" t="s">
        <v>17</v>
      </c>
    </row>
    <row r="3" spans="1:19">
      <c r="A3" s="10" t="s">
        <v>13</v>
      </c>
      <c r="B3" s="33" t="s">
        <v>365</v>
      </c>
      <c r="C3" s="15">
        <v>1</v>
      </c>
      <c r="D3" s="10" t="s">
        <v>14</v>
      </c>
      <c r="E3" s="10" t="s">
        <v>382</v>
      </c>
      <c r="F3" s="10">
        <v>1.1000000000000001</v>
      </c>
      <c r="G3" s="15" t="s">
        <v>18</v>
      </c>
      <c r="H3" s="14" t="s">
        <v>393</v>
      </c>
      <c r="I3" s="15">
        <v>1.5</v>
      </c>
      <c r="J3" s="10" t="s">
        <v>14</v>
      </c>
      <c r="K3" s="15" t="s">
        <v>382</v>
      </c>
      <c r="L3" s="15">
        <v>1</v>
      </c>
      <c r="M3" s="15" t="s">
        <v>16</v>
      </c>
      <c r="N3" s="58" t="s">
        <v>562</v>
      </c>
      <c r="O3" s="15">
        <v>0.25</v>
      </c>
      <c r="P3" s="9">
        <v>25</v>
      </c>
      <c r="Q3" s="1">
        <v>1.5</v>
      </c>
      <c r="R3" s="10">
        <v>88</v>
      </c>
      <c r="S3" s="15" t="s">
        <v>19</v>
      </c>
    </row>
    <row r="4" spans="1:19">
      <c r="A4" s="10" t="s">
        <v>13</v>
      </c>
      <c r="B4" s="33" t="s">
        <v>365</v>
      </c>
      <c r="C4" s="15">
        <v>1</v>
      </c>
      <c r="D4" s="10" t="s">
        <v>14</v>
      </c>
      <c r="E4" s="10" t="s">
        <v>382</v>
      </c>
      <c r="F4" s="10">
        <v>1.1000000000000001</v>
      </c>
      <c r="G4" s="15" t="s">
        <v>20</v>
      </c>
      <c r="H4" s="59" t="s">
        <v>561</v>
      </c>
      <c r="I4" s="15">
        <v>1.5</v>
      </c>
      <c r="J4" s="10" t="s">
        <v>21</v>
      </c>
      <c r="K4" s="14" t="s">
        <v>380</v>
      </c>
      <c r="L4" s="15">
        <v>2</v>
      </c>
      <c r="M4" s="15" t="s">
        <v>22</v>
      </c>
      <c r="N4" s="58" t="s">
        <v>563</v>
      </c>
      <c r="O4" s="15">
        <v>0.5</v>
      </c>
      <c r="P4" s="9">
        <v>25</v>
      </c>
      <c r="Q4" s="1">
        <v>1</v>
      </c>
      <c r="R4" s="10">
        <v>96</v>
      </c>
      <c r="S4" s="15" t="s">
        <v>23</v>
      </c>
    </row>
    <row r="5" spans="1:19">
      <c r="A5" s="26" t="s">
        <v>57</v>
      </c>
      <c r="B5" s="33" t="s">
        <v>366</v>
      </c>
      <c r="C5" s="15">
        <v>1</v>
      </c>
      <c r="D5" s="10" t="s">
        <v>14</v>
      </c>
      <c r="E5" s="10" t="s">
        <v>382</v>
      </c>
      <c r="F5" s="10">
        <v>1.1000000000000001</v>
      </c>
      <c r="G5" s="15" t="s">
        <v>20</v>
      </c>
      <c r="H5" s="59" t="s">
        <v>561</v>
      </c>
      <c r="I5" s="15">
        <v>1.5</v>
      </c>
      <c r="J5" s="10" t="s">
        <v>24</v>
      </c>
      <c r="K5" s="14" t="s">
        <v>380</v>
      </c>
      <c r="L5" s="15">
        <v>2</v>
      </c>
      <c r="M5" s="15" t="s">
        <v>22</v>
      </c>
      <c r="N5" s="58" t="s">
        <v>563</v>
      </c>
      <c r="O5" s="15">
        <v>0.5</v>
      </c>
      <c r="P5" s="9">
        <v>25</v>
      </c>
      <c r="Q5" s="1">
        <v>16</v>
      </c>
      <c r="R5" s="10">
        <v>90</v>
      </c>
      <c r="S5" s="15" t="s">
        <v>25</v>
      </c>
    </row>
    <row r="6" spans="1:19">
      <c r="A6" s="26" t="s">
        <v>57</v>
      </c>
      <c r="B6" s="33" t="s">
        <v>366</v>
      </c>
      <c r="C6" s="15">
        <v>1</v>
      </c>
      <c r="D6" s="10" t="s">
        <v>14</v>
      </c>
      <c r="E6" s="10" t="s">
        <v>382</v>
      </c>
      <c r="F6" s="10">
        <v>1.1000000000000001</v>
      </c>
      <c r="G6" s="15" t="s">
        <v>20</v>
      </c>
      <c r="H6" s="59" t="s">
        <v>561</v>
      </c>
      <c r="I6" s="15">
        <v>1.5</v>
      </c>
      <c r="J6" s="10" t="s">
        <v>24</v>
      </c>
      <c r="K6" s="14" t="s">
        <v>380</v>
      </c>
      <c r="L6" s="15">
        <v>2</v>
      </c>
      <c r="M6" s="15" t="s">
        <v>22</v>
      </c>
      <c r="N6" s="58" t="s">
        <v>563</v>
      </c>
      <c r="O6" s="15">
        <v>0.5</v>
      </c>
      <c r="P6" s="9">
        <v>25</v>
      </c>
      <c r="Q6" s="1">
        <v>16</v>
      </c>
      <c r="R6" s="10">
        <v>86</v>
      </c>
      <c r="S6" s="15" t="s">
        <v>26</v>
      </c>
    </row>
    <row r="7" spans="1:19">
      <c r="A7" s="10" t="s">
        <v>13</v>
      </c>
      <c r="B7" s="33" t="s">
        <v>365</v>
      </c>
      <c r="C7" s="15">
        <v>1</v>
      </c>
      <c r="D7" s="10" t="s">
        <v>27</v>
      </c>
      <c r="E7" s="19" t="s">
        <v>379</v>
      </c>
      <c r="F7" s="10">
        <v>1.1000000000000001</v>
      </c>
      <c r="G7" s="15" t="s">
        <v>28</v>
      </c>
      <c r="H7" s="14" t="s">
        <v>394</v>
      </c>
      <c r="I7" s="15">
        <v>1.1000000000000001</v>
      </c>
      <c r="J7" s="10" t="s">
        <v>27</v>
      </c>
      <c r="K7" s="14" t="s">
        <v>379</v>
      </c>
      <c r="L7" s="15">
        <v>2</v>
      </c>
      <c r="M7" s="15" t="s">
        <v>22</v>
      </c>
      <c r="N7" s="58" t="s">
        <v>563</v>
      </c>
      <c r="O7" s="15">
        <v>0.42</v>
      </c>
      <c r="P7" s="9">
        <v>25</v>
      </c>
      <c r="Q7" s="1">
        <v>2</v>
      </c>
      <c r="R7" s="10">
        <v>90</v>
      </c>
      <c r="S7" s="15" t="s">
        <v>29</v>
      </c>
    </row>
    <row r="8" spans="1:19">
      <c r="A8" s="10" t="s">
        <v>13</v>
      </c>
      <c r="B8" s="33" t="s">
        <v>365</v>
      </c>
      <c r="C8" s="15">
        <v>1</v>
      </c>
      <c r="D8" s="10" t="s">
        <v>27</v>
      </c>
      <c r="E8" s="19" t="s">
        <v>379</v>
      </c>
      <c r="F8" s="10">
        <v>2</v>
      </c>
      <c r="G8" s="15" t="s">
        <v>30</v>
      </c>
      <c r="H8" s="14" t="s">
        <v>391</v>
      </c>
      <c r="I8" s="15">
        <v>1.2</v>
      </c>
      <c r="J8" s="44" t="s">
        <v>196</v>
      </c>
      <c r="K8" s="14" t="s">
        <v>381</v>
      </c>
      <c r="L8" s="15">
        <v>2</v>
      </c>
      <c r="M8" s="15" t="s">
        <v>16</v>
      </c>
      <c r="N8" s="58" t="s">
        <v>562</v>
      </c>
      <c r="O8" s="15">
        <v>0.14000000000000001</v>
      </c>
      <c r="P8" s="9">
        <v>25</v>
      </c>
      <c r="Q8" s="1">
        <v>5</v>
      </c>
      <c r="R8" s="10">
        <v>95</v>
      </c>
      <c r="S8" s="15" t="s">
        <v>31</v>
      </c>
    </row>
    <row r="9" spans="1:19">
      <c r="A9" s="10" t="s">
        <v>13</v>
      </c>
      <c r="B9" s="33" t="s">
        <v>365</v>
      </c>
      <c r="C9" s="15">
        <v>1</v>
      </c>
      <c r="D9" s="10" t="s">
        <v>27</v>
      </c>
      <c r="E9" s="19" t="s">
        <v>379</v>
      </c>
      <c r="F9" s="10">
        <v>1.2</v>
      </c>
      <c r="G9" s="15" t="s">
        <v>18</v>
      </c>
      <c r="H9" s="14" t="s">
        <v>393</v>
      </c>
      <c r="I9" s="15">
        <v>1.1000000000000001</v>
      </c>
      <c r="J9" s="10" t="s">
        <v>27</v>
      </c>
      <c r="K9" s="14" t="s">
        <v>379</v>
      </c>
      <c r="L9" s="15">
        <v>2</v>
      </c>
      <c r="M9" s="15" t="s">
        <v>16</v>
      </c>
      <c r="N9" s="58" t="s">
        <v>562</v>
      </c>
      <c r="O9" s="15">
        <v>0.56000000000000005</v>
      </c>
      <c r="P9" s="9">
        <v>25</v>
      </c>
      <c r="Q9" s="1">
        <v>16</v>
      </c>
      <c r="R9" s="10">
        <v>61</v>
      </c>
      <c r="S9" s="15" t="s">
        <v>32</v>
      </c>
    </row>
    <row r="10" spans="1:19">
      <c r="A10" s="10" t="s">
        <v>13</v>
      </c>
      <c r="B10" s="33" t="s">
        <v>365</v>
      </c>
      <c r="C10" s="15">
        <v>1</v>
      </c>
      <c r="D10" s="10" t="s">
        <v>27</v>
      </c>
      <c r="E10" s="19" t="s">
        <v>379</v>
      </c>
      <c r="F10" s="10">
        <v>1.2</v>
      </c>
      <c r="G10" s="15" t="s">
        <v>15</v>
      </c>
      <c r="H10" s="15" t="s">
        <v>392</v>
      </c>
      <c r="I10" s="15">
        <v>1.2</v>
      </c>
      <c r="J10" s="44" t="s">
        <v>196</v>
      </c>
      <c r="K10" s="14" t="s">
        <v>381</v>
      </c>
      <c r="L10" s="15">
        <v>1.2</v>
      </c>
      <c r="M10" s="15" t="s">
        <v>16</v>
      </c>
      <c r="N10" s="58" t="s">
        <v>562</v>
      </c>
      <c r="O10" s="15">
        <v>0.5</v>
      </c>
      <c r="P10" s="9">
        <v>21</v>
      </c>
      <c r="Q10" s="1">
        <v>16</v>
      </c>
      <c r="R10" s="10">
        <v>95</v>
      </c>
      <c r="S10" s="15" t="s">
        <v>33</v>
      </c>
    </row>
    <row r="11" spans="1:19">
      <c r="A11" s="10" t="s">
        <v>13</v>
      </c>
      <c r="B11" s="33" t="s">
        <v>365</v>
      </c>
      <c r="C11" s="15">
        <v>1</v>
      </c>
      <c r="D11" s="10" t="s">
        <v>27</v>
      </c>
      <c r="E11" s="19" t="s">
        <v>379</v>
      </c>
      <c r="F11" s="10">
        <v>1.1000000000000001</v>
      </c>
      <c r="G11" s="15" t="s">
        <v>34</v>
      </c>
      <c r="H11" s="15" t="s">
        <v>396</v>
      </c>
      <c r="I11" s="15">
        <v>1.3</v>
      </c>
      <c r="J11" s="10" t="s">
        <v>21</v>
      </c>
      <c r="K11" s="14" t="s">
        <v>380</v>
      </c>
      <c r="L11" s="15">
        <v>2.2000000000000002</v>
      </c>
      <c r="M11" s="15" t="s">
        <v>16</v>
      </c>
      <c r="N11" s="58" t="s">
        <v>562</v>
      </c>
      <c r="O11" s="15">
        <v>0.36</v>
      </c>
      <c r="P11" s="9">
        <v>25</v>
      </c>
      <c r="Q11" s="1">
        <v>6</v>
      </c>
      <c r="R11" s="10">
        <v>90</v>
      </c>
      <c r="S11" s="15" t="s">
        <v>35</v>
      </c>
    </row>
    <row r="12" spans="1:19">
      <c r="A12" s="10" t="s">
        <v>36</v>
      </c>
      <c r="B12" s="33" t="s">
        <v>367</v>
      </c>
      <c r="C12" s="15">
        <v>1</v>
      </c>
      <c r="D12" s="10" t="s">
        <v>27</v>
      </c>
      <c r="E12" s="19" t="s">
        <v>379</v>
      </c>
      <c r="F12" s="10">
        <v>1.36</v>
      </c>
      <c r="G12" s="15" t="s">
        <v>15</v>
      </c>
      <c r="H12" s="15" t="s">
        <v>392</v>
      </c>
      <c r="I12" s="15">
        <v>1.2</v>
      </c>
      <c r="J12" s="10" t="s">
        <v>21</v>
      </c>
      <c r="K12" s="14" t="s">
        <v>380</v>
      </c>
      <c r="L12" s="15">
        <v>1.36</v>
      </c>
      <c r="M12" s="15" t="s">
        <v>22</v>
      </c>
      <c r="N12" s="58" t="s">
        <v>563</v>
      </c>
      <c r="O12" s="15">
        <v>0.4</v>
      </c>
      <c r="P12" s="9">
        <v>25</v>
      </c>
      <c r="Q12" s="1">
        <v>16</v>
      </c>
      <c r="R12" s="10">
        <v>95</v>
      </c>
      <c r="S12" s="15" t="s">
        <v>37</v>
      </c>
    </row>
    <row r="13" spans="1:19">
      <c r="A13" s="10" t="s">
        <v>36</v>
      </c>
      <c r="B13" s="33" t="s">
        <v>367</v>
      </c>
      <c r="C13" s="15">
        <v>1</v>
      </c>
      <c r="D13" s="10" t="s">
        <v>27</v>
      </c>
      <c r="E13" s="19" t="s">
        <v>379</v>
      </c>
      <c r="F13" s="10">
        <v>1.2</v>
      </c>
      <c r="G13" s="15" t="s">
        <v>38</v>
      </c>
      <c r="H13" s="33" t="s">
        <v>398</v>
      </c>
      <c r="I13" s="15">
        <v>1.2</v>
      </c>
      <c r="J13" s="10" t="s">
        <v>27</v>
      </c>
      <c r="K13" s="14" t="s">
        <v>379</v>
      </c>
      <c r="L13" s="15">
        <v>2</v>
      </c>
      <c r="M13" s="15" t="s">
        <v>16</v>
      </c>
      <c r="N13" s="58" t="s">
        <v>562</v>
      </c>
      <c r="O13" s="15">
        <v>0.25</v>
      </c>
      <c r="P13" s="9">
        <v>25</v>
      </c>
      <c r="Q13" s="1">
        <v>5</v>
      </c>
      <c r="R13" s="10">
        <v>91</v>
      </c>
      <c r="S13" s="15" t="s">
        <v>39</v>
      </c>
    </row>
    <row r="14" spans="1:19">
      <c r="A14" s="10" t="s">
        <v>36</v>
      </c>
      <c r="B14" s="33" t="s">
        <v>367</v>
      </c>
      <c r="C14" s="15">
        <v>1</v>
      </c>
      <c r="D14" s="10" t="s">
        <v>27</v>
      </c>
      <c r="E14" s="19" t="s">
        <v>379</v>
      </c>
      <c r="F14" s="10">
        <v>2</v>
      </c>
      <c r="G14" s="15" t="s">
        <v>18</v>
      </c>
      <c r="H14" s="14" t="s">
        <v>393</v>
      </c>
      <c r="I14" s="15">
        <v>1</v>
      </c>
      <c r="J14" s="10" t="s">
        <v>27</v>
      </c>
      <c r="K14" s="14" t="s">
        <v>379</v>
      </c>
      <c r="L14" s="15">
        <v>2</v>
      </c>
      <c r="M14" s="15" t="s">
        <v>40</v>
      </c>
      <c r="N14" s="14" t="s">
        <v>423</v>
      </c>
      <c r="O14" s="15">
        <v>0.5</v>
      </c>
      <c r="P14" s="9">
        <v>25</v>
      </c>
      <c r="Q14" s="1">
        <v>16</v>
      </c>
      <c r="R14" s="10">
        <v>98</v>
      </c>
      <c r="S14" s="15" t="s">
        <v>41</v>
      </c>
    </row>
    <row r="15" spans="1:19">
      <c r="A15" s="10" t="s">
        <v>36</v>
      </c>
      <c r="B15" s="33" t="s">
        <v>367</v>
      </c>
      <c r="C15" s="15">
        <v>1</v>
      </c>
      <c r="D15" s="10" t="s">
        <v>27</v>
      </c>
      <c r="E15" s="19" t="s">
        <v>379</v>
      </c>
      <c r="F15" s="10">
        <v>2</v>
      </c>
      <c r="G15" s="15" t="s">
        <v>15</v>
      </c>
      <c r="H15" s="15" t="s">
        <v>392</v>
      </c>
      <c r="I15" s="15">
        <v>1.1000000000000001</v>
      </c>
      <c r="J15" s="10" t="s">
        <v>27</v>
      </c>
      <c r="K15" s="14" t="s">
        <v>379</v>
      </c>
      <c r="L15" s="15">
        <v>2</v>
      </c>
      <c r="M15" s="15" t="s">
        <v>16</v>
      </c>
      <c r="N15" s="58" t="s">
        <v>562</v>
      </c>
      <c r="O15" s="15">
        <v>0.5</v>
      </c>
      <c r="P15" s="9">
        <v>25</v>
      </c>
      <c r="Q15" s="1">
        <v>24</v>
      </c>
      <c r="R15" s="10">
        <v>64</v>
      </c>
      <c r="S15" s="15" t="s">
        <v>42</v>
      </c>
    </row>
    <row r="16" spans="1:19">
      <c r="A16" s="10" t="s">
        <v>36</v>
      </c>
      <c r="B16" s="33" t="s">
        <v>367</v>
      </c>
      <c r="C16" s="15">
        <v>1</v>
      </c>
      <c r="D16" s="10" t="s">
        <v>27</v>
      </c>
      <c r="E16" s="19" t="s">
        <v>379</v>
      </c>
      <c r="F16" s="10">
        <v>2</v>
      </c>
      <c r="G16" s="15" t="s">
        <v>15</v>
      </c>
      <c r="H16" s="15" t="s">
        <v>392</v>
      </c>
      <c r="I16" s="15">
        <v>1.1000000000000001</v>
      </c>
      <c r="J16" s="10" t="s">
        <v>27</v>
      </c>
      <c r="K16" s="14" t="s">
        <v>379</v>
      </c>
      <c r="L16" s="15">
        <v>2</v>
      </c>
      <c r="M16" s="15" t="s">
        <v>16</v>
      </c>
      <c r="N16" s="58" t="s">
        <v>562</v>
      </c>
      <c r="O16" s="15">
        <v>0.06</v>
      </c>
      <c r="P16" s="9">
        <v>25</v>
      </c>
      <c r="Q16" s="1">
        <v>24</v>
      </c>
      <c r="R16" s="10">
        <v>64</v>
      </c>
      <c r="S16" s="15" t="s">
        <v>43</v>
      </c>
    </row>
    <row r="17" spans="1:19">
      <c r="A17" s="10" t="s">
        <v>44</v>
      </c>
      <c r="B17" s="33" t="s">
        <v>368</v>
      </c>
      <c r="C17" s="15">
        <v>1</v>
      </c>
      <c r="D17" s="10" t="s">
        <v>27</v>
      </c>
      <c r="E17" s="19" t="s">
        <v>379</v>
      </c>
      <c r="F17" s="10">
        <v>2</v>
      </c>
      <c r="G17" s="15" t="s">
        <v>30</v>
      </c>
      <c r="H17" s="14" t="s">
        <v>391</v>
      </c>
      <c r="I17" s="15">
        <v>1.2</v>
      </c>
      <c r="J17" s="44" t="s">
        <v>196</v>
      </c>
      <c r="K17" s="14" t="s">
        <v>381</v>
      </c>
      <c r="L17" s="15">
        <v>2</v>
      </c>
      <c r="M17" s="15" t="s">
        <v>16</v>
      </c>
      <c r="N17" s="58" t="s">
        <v>562</v>
      </c>
      <c r="O17" s="15">
        <v>0.15</v>
      </c>
      <c r="P17" s="9">
        <v>25</v>
      </c>
      <c r="Q17" s="1">
        <v>5</v>
      </c>
      <c r="R17" s="10">
        <v>95</v>
      </c>
      <c r="S17" s="15" t="s">
        <v>31</v>
      </c>
    </row>
    <row r="18" spans="1:19">
      <c r="A18" s="10" t="s">
        <v>44</v>
      </c>
      <c r="B18" s="33" t="s">
        <v>368</v>
      </c>
      <c r="C18" s="15">
        <v>1</v>
      </c>
      <c r="D18" s="10" t="s">
        <v>27</v>
      </c>
      <c r="E18" s="19" t="s">
        <v>379</v>
      </c>
      <c r="F18" s="10">
        <v>2</v>
      </c>
      <c r="G18" s="15" t="s">
        <v>18</v>
      </c>
      <c r="H18" s="14" t="s">
        <v>393</v>
      </c>
      <c r="I18" s="15">
        <v>1.1000000000000001</v>
      </c>
      <c r="J18" s="10" t="s">
        <v>27</v>
      </c>
      <c r="K18" s="14" t="s">
        <v>379</v>
      </c>
      <c r="L18" s="15">
        <v>2</v>
      </c>
      <c r="M18" s="15" t="s">
        <v>16</v>
      </c>
      <c r="N18" s="58" t="s">
        <v>562</v>
      </c>
      <c r="O18" s="15">
        <v>0.19</v>
      </c>
      <c r="P18" s="9">
        <v>25</v>
      </c>
      <c r="Q18" s="1">
        <v>18</v>
      </c>
      <c r="R18" s="10">
        <v>89</v>
      </c>
      <c r="S18" s="15" t="s">
        <v>45</v>
      </c>
    </row>
    <row r="19" spans="1:19">
      <c r="A19" s="10" t="s">
        <v>44</v>
      </c>
      <c r="B19" s="33" t="s">
        <v>368</v>
      </c>
      <c r="C19" s="15">
        <v>1</v>
      </c>
      <c r="D19" s="10" t="s">
        <v>27</v>
      </c>
      <c r="E19" s="19" t="s">
        <v>379</v>
      </c>
      <c r="F19" s="10">
        <v>2.1</v>
      </c>
      <c r="G19" s="15" t="s">
        <v>18</v>
      </c>
      <c r="H19" s="14" t="s">
        <v>393</v>
      </c>
      <c r="I19" s="15">
        <v>1.1000000000000001</v>
      </c>
      <c r="J19" s="10" t="s">
        <v>27</v>
      </c>
      <c r="K19" s="14" t="s">
        <v>379</v>
      </c>
      <c r="L19" s="15">
        <v>2</v>
      </c>
      <c r="M19" s="15" t="s">
        <v>16</v>
      </c>
      <c r="N19" s="58" t="s">
        <v>562</v>
      </c>
      <c r="O19" s="15">
        <v>0.2</v>
      </c>
      <c r="P19" s="9">
        <v>25</v>
      </c>
      <c r="Q19" s="1">
        <v>24</v>
      </c>
      <c r="R19" s="10">
        <v>82</v>
      </c>
      <c r="S19" s="15" t="s">
        <v>46</v>
      </c>
    </row>
    <row r="20" spans="1:19">
      <c r="A20" s="10" t="s">
        <v>44</v>
      </c>
      <c r="B20" s="33" t="s">
        <v>368</v>
      </c>
      <c r="C20" s="15">
        <v>1.3</v>
      </c>
      <c r="D20" s="10" t="s">
        <v>27</v>
      </c>
      <c r="E20" s="19" t="s">
        <v>379</v>
      </c>
      <c r="F20" s="10">
        <v>1</v>
      </c>
      <c r="G20" s="15" t="s">
        <v>47</v>
      </c>
      <c r="H20" s="59" t="s">
        <v>561</v>
      </c>
      <c r="I20" s="15">
        <v>1.3</v>
      </c>
      <c r="J20" s="44" t="s">
        <v>196</v>
      </c>
      <c r="K20" s="14" t="s">
        <v>381</v>
      </c>
      <c r="L20" s="15">
        <v>4</v>
      </c>
      <c r="M20" s="15" t="s">
        <v>48</v>
      </c>
      <c r="N20" s="15" t="s">
        <v>425</v>
      </c>
      <c r="O20" s="15">
        <v>0.5</v>
      </c>
      <c r="P20" s="9">
        <v>25</v>
      </c>
      <c r="Q20" s="1">
        <v>16</v>
      </c>
      <c r="R20" s="10">
        <v>86</v>
      </c>
      <c r="S20" s="15" t="s">
        <v>49</v>
      </c>
    </row>
    <row r="21" spans="1:19">
      <c r="A21" s="10" t="s">
        <v>44</v>
      </c>
      <c r="B21" s="33" t="s">
        <v>368</v>
      </c>
      <c r="C21" s="15">
        <v>1</v>
      </c>
      <c r="D21" s="10" t="s">
        <v>27</v>
      </c>
      <c r="E21" s="19" t="s">
        <v>379</v>
      </c>
      <c r="F21" s="10">
        <v>2.5</v>
      </c>
      <c r="G21" s="15" t="s">
        <v>15</v>
      </c>
      <c r="H21" s="15" t="s">
        <v>392</v>
      </c>
      <c r="I21" s="15">
        <v>1.2</v>
      </c>
      <c r="J21" s="10" t="s">
        <v>27</v>
      </c>
      <c r="K21" s="14" t="s">
        <v>379</v>
      </c>
      <c r="L21" s="15">
        <v>2</v>
      </c>
      <c r="M21" s="15" t="s">
        <v>16</v>
      </c>
      <c r="N21" s="58" t="s">
        <v>562</v>
      </c>
      <c r="O21" s="15">
        <v>0.22</v>
      </c>
      <c r="P21" s="9">
        <v>11</v>
      </c>
      <c r="Q21" s="1">
        <v>16</v>
      </c>
      <c r="R21" s="10">
        <v>100</v>
      </c>
      <c r="S21" s="15" t="s">
        <v>50</v>
      </c>
    </row>
    <row r="22" spans="1:19">
      <c r="A22" s="10" t="s">
        <v>36</v>
      </c>
      <c r="B22" s="33" t="s">
        <v>367</v>
      </c>
      <c r="C22" s="15">
        <v>1</v>
      </c>
      <c r="D22" s="10" t="s">
        <v>14</v>
      </c>
      <c r="E22" s="10" t="s">
        <v>382</v>
      </c>
      <c r="F22" s="10">
        <v>1.5</v>
      </c>
      <c r="G22" s="15" t="s">
        <v>15</v>
      </c>
      <c r="H22" s="15" t="s">
        <v>392</v>
      </c>
      <c r="I22" s="15">
        <v>1.1000000000000001</v>
      </c>
      <c r="J22" s="10" t="s">
        <v>24</v>
      </c>
      <c r="K22" s="14" t="s">
        <v>380</v>
      </c>
      <c r="L22" s="15">
        <v>1.5</v>
      </c>
      <c r="M22" s="15" t="s">
        <v>22</v>
      </c>
      <c r="N22" s="58" t="s">
        <v>563</v>
      </c>
      <c r="O22" s="15">
        <v>0.4</v>
      </c>
      <c r="P22" s="9">
        <v>25</v>
      </c>
      <c r="Q22" s="1">
        <v>16</v>
      </c>
      <c r="R22" s="10">
        <v>100</v>
      </c>
      <c r="S22" s="15" t="s">
        <v>37</v>
      </c>
    </row>
    <row r="23" spans="1:19">
      <c r="A23" s="10" t="s">
        <v>36</v>
      </c>
      <c r="B23" s="33" t="s">
        <v>367</v>
      </c>
      <c r="C23" s="15">
        <v>1</v>
      </c>
      <c r="D23" s="10" t="s">
        <v>14</v>
      </c>
      <c r="E23" s="10" t="s">
        <v>382</v>
      </c>
      <c r="F23" s="10">
        <v>1.2</v>
      </c>
      <c r="G23" s="15" t="s">
        <v>15</v>
      </c>
      <c r="H23" s="15" t="s">
        <v>392</v>
      </c>
      <c r="I23" s="15">
        <v>1.2</v>
      </c>
      <c r="J23" s="10" t="s">
        <v>51</v>
      </c>
      <c r="K23" s="15" t="s">
        <v>383</v>
      </c>
      <c r="L23" s="15">
        <v>2.2000000000000002</v>
      </c>
      <c r="M23" s="15" t="s">
        <v>40</v>
      </c>
      <c r="N23" s="14" t="s">
        <v>423</v>
      </c>
      <c r="O23" s="15">
        <v>0.5</v>
      </c>
      <c r="P23" s="9">
        <v>25</v>
      </c>
      <c r="Q23" s="1">
        <v>24</v>
      </c>
      <c r="R23" s="10">
        <v>90</v>
      </c>
      <c r="S23" s="15" t="s">
        <v>52</v>
      </c>
    </row>
    <row r="24" spans="1:19">
      <c r="A24" s="10" t="s">
        <v>36</v>
      </c>
      <c r="B24" s="33" t="s">
        <v>367</v>
      </c>
      <c r="C24" s="15">
        <v>1</v>
      </c>
      <c r="D24" s="10" t="s">
        <v>14</v>
      </c>
      <c r="E24" s="10" t="s">
        <v>382</v>
      </c>
      <c r="F24" s="10">
        <v>1</v>
      </c>
      <c r="G24" s="15" t="s">
        <v>53</v>
      </c>
      <c r="H24" s="15" t="s">
        <v>401</v>
      </c>
      <c r="I24" s="15">
        <v>1</v>
      </c>
      <c r="J24" s="10" t="s">
        <v>51</v>
      </c>
      <c r="K24" s="15" t="s">
        <v>383</v>
      </c>
      <c r="L24" s="15">
        <v>1.1000000000000001</v>
      </c>
      <c r="M24" s="15" t="s">
        <v>40</v>
      </c>
      <c r="N24" s="14" t="s">
        <v>423</v>
      </c>
      <c r="O24" s="15">
        <v>0.2</v>
      </c>
      <c r="P24" s="9">
        <v>25</v>
      </c>
      <c r="Q24" s="1">
        <v>3</v>
      </c>
      <c r="R24" s="10">
        <v>95</v>
      </c>
      <c r="S24" s="15" t="s">
        <v>54</v>
      </c>
    </row>
    <row r="25" spans="1:19">
      <c r="A25" s="10" t="s">
        <v>36</v>
      </c>
      <c r="B25" s="33" t="s">
        <v>367</v>
      </c>
      <c r="C25" s="15">
        <v>1</v>
      </c>
      <c r="D25" s="10" t="s">
        <v>55</v>
      </c>
      <c r="E25" s="10" t="s">
        <v>459</v>
      </c>
      <c r="F25" s="10">
        <v>1</v>
      </c>
      <c r="G25" s="15" t="s">
        <v>15</v>
      </c>
      <c r="H25" s="15" t="s">
        <v>392</v>
      </c>
      <c r="I25" s="15">
        <v>1.2</v>
      </c>
      <c r="J25" s="44" t="s">
        <v>196</v>
      </c>
      <c r="K25" s="14" t="s">
        <v>381</v>
      </c>
      <c r="L25" s="15">
        <v>1.2</v>
      </c>
      <c r="M25" s="15" t="s">
        <v>16</v>
      </c>
      <c r="N25" s="58" t="s">
        <v>562</v>
      </c>
      <c r="O25" s="15">
        <v>0.2</v>
      </c>
      <c r="P25" s="9">
        <v>25</v>
      </c>
      <c r="Q25" s="1">
        <v>16</v>
      </c>
      <c r="R25" s="10">
        <v>74</v>
      </c>
      <c r="S25" s="15" t="s">
        <v>56</v>
      </c>
    </row>
    <row r="26" spans="1:19">
      <c r="A26" s="10" t="s">
        <v>57</v>
      </c>
      <c r="B26" s="33" t="s">
        <v>366</v>
      </c>
      <c r="C26" s="15">
        <v>1</v>
      </c>
      <c r="D26" s="10" t="s">
        <v>58</v>
      </c>
      <c r="E26" s="10" t="s">
        <v>458</v>
      </c>
      <c r="F26" s="10">
        <v>1.1000000000000001</v>
      </c>
      <c r="G26" s="15" t="s">
        <v>59</v>
      </c>
      <c r="H26" s="14" t="s">
        <v>390</v>
      </c>
      <c r="I26" s="15">
        <v>1.1000000000000001</v>
      </c>
      <c r="J26" s="10" t="s">
        <v>21</v>
      </c>
      <c r="K26" s="14" t="s">
        <v>380</v>
      </c>
      <c r="L26" s="15">
        <v>2.25</v>
      </c>
      <c r="M26" s="15" t="s">
        <v>22</v>
      </c>
      <c r="N26" s="58" t="s">
        <v>563</v>
      </c>
      <c r="O26" s="15">
        <v>0.3</v>
      </c>
      <c r="P26" s="9">
        <v>25</v>
      </c>
      <c r="Q26" s="1">
        <v>18</v>
      </c>
      <c r="R26" s="10">
        <v>80</v>
      </c>
      <c r="S26" s="15" t="s">
        <v>60</v>
      </c>
    </row>
    <row r="27" spans="1:19">
      <c r="A27" s="10" t="s">
        <v>57</v>
      </c>
      <c r="B27" s="33" t="s">
        <v>366</v>
      </c>
      <c r="C27" s="15">
        <v>1</v>
      </c>
      <c r="D27" s="10" t="s">
        <v>58</v>
      </c>
      <c r="E27" s="10" t="s">
        <v>458</v>
      </c>
      <c r="F27" s="10">
        <v>1.5</v>
      </c>
      <c r="G27" s="15" t="s">
        <v>59</v>
      </c>
      <c r="H27" s="14" t="s">
        <v>390</v>
      </c>
      <c r="I27" s="15">
        <v>1.1000000000000001</v>
      </c>
      <c r="J27" s="10" t="s">
        <v>21</v>
      </c>
      <c r="K27" s="14" t="s">
        <v>380</v>
      </c>
      <c r="L27" s="15">
        <v>3</v>
      </c>
      <c r="M27" s="15" t="s">
        <v>22</v>
      </c>
      <c r="N27" s="58" t="s">
        <v>563</v>
      </c>
      <c r="O27" s="15">
        <v>0.3</v>
      </c>
      <c r="P27" s="9">
        <v>25</v>
      </c>
      <c r="Q27" s="1">
        <v>16</v>
      </c>
      <c r="R27" s="10">
        <v>88</v>
      </c>
      <c r="S27" s="15" t="s">
        <v>61</v>
      </c>
    </row>
    <row r="28" spans="1:19">
      <c r="A28" s="10" t="s">
        <v>57</v>
      </c>
      <c r="B28" s="33" t="s">
        <v>366</v>
      </c>
      <c r="C28" s="15">
        <v>1</v>
      </c>
      <c r="D28" s="10" t="s">
        <v>58</v>
      </c>
      <c r="E28" s="10" t="s">
        <v>458</v>
      </c>
      <c r="F28" s="10">
        <v>1.5</v>
      </c>
      <c r="G28" s="15" t="s">
        <v>47</v>
      </c>
      <c r="H28" s="59" t="s">
        <v>561</v>
      </c>
      <c r="I28" s="15">
        <v>1.2</v>
      </c>
      <c r="J28" s="10" t="s">
        <v>21</v>
      </c>
      <c r="K28" s="14" t="s">
        <v>380</v>
      </c>
      <c r="L28" s="15">
        <v>2.5</v>
      </c>
      <c r="M28" s="15" t="s">
        <v>22</v>
      </c>
      <c r="N28" s="58" t="s">
        <v>563</v>
      </c>
      <c r="O28" s="15">
        <v>0.4</v>
      </c>
      <c r="P28" s="9">
        <v>25</v>
      </c>
      <c r="Q28" s="1">
        <v>18</v>
      </c>
      <c r="R28" s="10">
        <v>91</v>
      </c>
      <c r="S28" s="15" t="s">
        <v>62</v>
      </c>
    </row>
    <row r="29" spans="1:19">
      <c r="A29" s="10" t="s">
        <v>57</v>
      </c>
      <c r="B29" s="33" t="s">
        <v>366</v>
      </c>
      <c r="C29" s="15">
        <v>1</v>
      </c>
      <c r="D29" s="10" t="s">
        <v>58</v>
      </c>
      <c r="E29" s="10" t="s">
        <v>458</v>
      </c>
      <c r="F29" s="10">
        <v>1.1000000000000001</v>
      </c>
      <c r="G29" s="15" t="s">
        <v>59</v>
      </c>
      <c r="H29" s="14" t="s">
        <v>390</v>
      </c>
      <c r="I29" s="15">
        <v>1.2</v>
      </c>
      <c r="J29" s="10" t="s">
        <v>21</v>
      </c>
      <c r="K29" s="14" t="s">
        <v>380</v>
      </c>
      <c r="L29" s="15">
        <v>2.25</v>
      </c>
      <c r="M29" s="15" t="s">
        <v>63</v>
      </c>
      <c r="N29" s="15" t="s">
        <v>564</v>
      </c>
      <c r="O29" s="15">
        <v>0.4</v>
      </c>
      <c r="P29" s="9">
        <v>25</v>
      </c>
      <c r="Q29" s="1">
        <v>15</v>
      </c>
      <c r="R29" s="10">
        <v>93</v>
      </c>
      <c r="S29" s="15" t="s">
        <v>64</v>
      </c>
    </row>
    <row r="30" spans="1:19">
      <c r="A30" s="10" t="s">
        <v>57</v>
      </c>
      <c r="B30" s="33" t="s">
        <v>366</v>
      </c>
      <c r="C30" s="15">
        <v>1</v>
      </c>
      <c r="D30" s="10" t="s">
        <v>65</v>
      </c>
      <c r="E30" s="10" t="s">
        <v>460</v>
      </c>
      <c r="F30" s="10">
        <v>1.2</v>
      </c>
      <c r="G30" s="15" t="s">
        <v>59</v>
      </c>
      <c r="H30" s="14" t="s">
        <v>390</v>
      </c>
      <c r="I30" s="15">
        <v>2</v>
      </c>
      <c r="J30" s="10" t="s">
        <v>21</v>
      </c>
      <c r="K30" s="14" t="s">
        <v>380</v>
      </c>
      <c r="L30" s="15">
        <v>5</v>
      </c>
      <c r="M30" s="15" t="s">
        <v>22</v>
      </c>
      <c r="N30" s="58" t="s">
        <v>563</v>
      </c>
      <c r="O30" s="15">
        <v>0.5</v>
      </c>
      <c r="P30" s="9">
        <v>20</v>
      </c>
      <c r="Q30" s="1">
        <v>12</v>
      </c>
      <c r="R30" s="10">
        <v>92</v>
      </c>
      <c r="S30" s="15" t="s">
        <v>66</v>
      </c>
    </row>
    <row r="31" spans="1:19">
      <c r="A31" s="10" t="s">
        <v>57</v>
      </c>
      <c r="B31" s="33" t="s">
        <v>366</v>
      </c>
      <c r="C31" s="15">
        <v>1</v>
      </c>
      <c r="D31" s="10" t="s">
        <v>67</v>
      </c>
      <c r="E31" s="10" t="s">
        <v>461</v>
      </c>
      <c r="F31" s="10">
        <v>1.18</v>
      </c>
      <c r="G31" s="15" t="s">
        <v>68</v>
      </c>
      <c r="H31" s="15" t="s">
        <v>397</v>
      </c>
      <c r="I31" s="15">
        <v>1.19</v>
      </c>
      <c r="J31" s="10" t="s">
        <v>69</v>
      </c>
      <c r="K31" s="15" t="s">
        <v>383</v>
      </c>
      <c r="L31" s="15">
        <v>3</v>
      </c>
      <c r="M31" s="15" t="s">
        <v>70</v>
      </c>
      <c r="N31" s="14" t="s">
        <v>565</v>
      </c>
      <c r="O31" s="15">
        <v>0.3</v>
      </c>
      <c r="P31" s="9">
        <v>25</v>
      </c>
      <c r="Q31" s="1">
        <v>24</v>
      </c>
      <c r="R31" s="10">
        <v>96</v>
      </c>
      <c r="S31" s="15" t="s">
        <v>71</v>
      </c>
    </row>
    <row r="32" spans="1:19">
      <c r="A32" s="10" t="s">
        <v>57</v>
      </c>
      <c r="B32" s="33" t="s">
        <v>366</v>
      </c>
      <c r="C32" s="15">
        <v>1</v>
      </c>
      <c r="D32" s="10" t="s">
        <v>72</v>
      </c>
      <c r="E32" s="10" t="s">
        <v>386</v>
      </c>
      <c r="F32" s="10">
        <v>1</v>
      </c>
      <c r="G32" s="15" t="s">
        <v>59</v>
      </c>
      <c r="H32" s="14" t="s">
        <v>390</v>
      </c>
      <c r="I32" s="15">
        <v>1.1000000000000001</v>
      </c>
      <c r="J32" s="10" t="s">
        <v>69</v>
      </c>
      <c r="K32" s="15" t="s">
        <v>383</v>
      </c>
      <c r="L32" s="15">
        <v>2.2000000000000002</v>
      </c>
      <c r="M32" s="15" t="s">
        <v>16</v>
      </c>
      <c r="N32" s="58" t="s">
        <v>562</v>
      </c>
      <c r="O32" s="15">
        <v>0.55000000000000004</v>
      </c>
      <c r="P32" s="9">
        <v>25</v>
      </c>
      <c r="Q32" s="1">
        <v>18</v>
      </c>
      <c r="R32" s="10">
        <v>91</v>
      </c>
      <c r="S32" s="15" t="s">
        <v>73</v>
      </c>
    </row>
    <row r="33" spans="1:19">
      <c r="A33" s="10" t="s">
        <v>57</v>
      </c>
      <c r="B33" s="33" t="s">
        <v>366</v>
      </c>
      <c r="C33" s="15">
        <v>1</v>
      </c>
      <c r="D33" s="10" t="s">
        <v>72</v>
      </c>
      <c r="E33" s="10" t="s">
        <v>386</v>
      </c>
      <c r="F33" s="10">
        <v>1.1000000000000001</v>
      </c>
      <c r="G33" s="15" t="s">
        <v>59</v>
      </c>
      <c r="H33" s="14" t="s">
        <v>390</v>
      </c>
      <c r="I33" s="15">
        <v>1.1000000000000001</v>
      </c>
      <c r="J33" s="10" t="s">
        <v>21</v>
      </c>
      <c r="K33" s="14" t="s">
        <v>380</v>
      </c>
      <c r="L33" s="15">
        <v>1</v>
      </c>
      <c r="M33" s="15" t="s">
        <v>22</v>
      </c>
      <c r="N33" s="58" t="s">
        <v>563</v>
      </c>
      <c r="O33" s="15">
        <v>0.6</v>
      </c>
      <c r="P33" s="9">
        <v>25</v>
      </c>
      <c r="Q33" s="1">
        <v>18</v>
      </c>
      <c r="R33" s="10">
        <v>90</v>
      </c>
      <c r="S33" s="15" t="s">
        <v>74</v>
      </c>
    </row>
    <row r="34" spans="1:19">
      <c r="A34" s="10" t="s">
        <v>57</v>
      </c>
      <c r="B34" s="33" t="s">
        <v>366</v>
      </c>
      <c r="C34" s="15">
        <v>1</v>
      </c>
      <c r="D34" s="10" t="s">
        <v>72</v>
      </c>
      <c r="E34" s="10" t="s">
        <v>386</v>
      </c>
      <c r="F34" s="10">
        <v>1</v>
      </c>
      <c r="G34" s="15" t="s">
        <v>59</v>
      </c>
      <c r="H34" s="14" t="s">
        <v>390</v>
      </c>
      <c r="I34" s="15">
        <v>1.05</v>
      </c>
      <c r="J34" s="10" t="s">
        <v>69</v>
      </c>
      <c r="K34" s="15" t="s">
        <v>383</v>
      </c>
      <c r="L34" s="15">
        <v>2.71</v>
      </c>
      <c r="M34" s="15" t="s">
        <v>75</v>
      </c>
      <c r="N34" s="15" t="s">
        <v>424</v>
      </c>
      <c r="O34" s="15">
        <v>0.4</v>
      </c>
      <c r="P34" s="9">
        <v>25</v>
      </c>
      <c r="Q34" s="1">
        <v>18</v>
      </c>
      <c r="R34" s="10">
        <v>97</v>
      </c>
      <c r="S34" s="15" t="s">
        <v>76</v>
      </c>
    </row>
    <row r="35" spans="1:19">
      <c r="A35" s="10" t="s">
        <v>57</v>
      </c>
      <c r="B35" s="33" t="s">
        <v>366</v>
      </c>
      <c r="C35" s="15">
        <v>1</v>
      </c>
      <c r="D35" s="10" t="s">
        <v>72</v>
      </c>
      <c r="E35" s="10" t="s">
        <v>386</v>
      </c>
      <c r="F35" s="10">
        <v>1</v>
      </c>
      <c r="G35" s="15" t="s">
        <v>77</v>
      </c>
      <c r="H35" s="14" t="s">
        <v>391</v>
      </c>
      <c r="I35" s="15">
        <v>1.05</v>
      </c>
      <c r="J35" s="10" t="s">
        <v>21</v>
      </c>
      <c r="K35" s="14" t="s">
        <v>380</v>
      </c>
      <c r="L35" s="15">
        <v>3.5</v>
      </c>
      <c r="M35" s="15" t="s">
        <v>22</v>
      </c>
      <c r="N35" s="58" t="s">
        <v>563</v>
      </c>
      <c r="O35" s="15">
        <v>0.3</v>
      </c>
      <c r="P35" s="9">
        <v>25</v>
      </c>
      <c r="Q35" s="1">
        <v>18</v>
      </c>
      <c r="R35" s="10">
        <v>100</v>
      </c>
      <c r="S35" s="15" t="s">
        <v>78</v>
      </c>
    </row>
    <row r="36" spans="1:19">
      <c r="A36" s="10" t="s">
        <v>57</v>
      </c>
      <c r="B36" s="33" t="s">
        <v>366</v>
      </c>
      <c r="C36" s="15">
        <v>1</v>
      </c>
      <c r="D36" s="10" t="s">
        <v>72</v>
      </c>
      <c r="E36" s="10" t="s">
        <v>386</v>
      </c>
      <c r="F36" s="10">
        <v>1</v>
      </c>
      <c r="G36" s="15" t="s">
        <v>77</v>
      </c>
      <c r="H36" s="14" t="s">
        <v>391</v>
      </c>
      <c r="I36" s="15">
        <v>1.5</v>
      </c>
      <c r="J36" s="10" t="s">
        <v>21</v>
      </c>
      <c r="K36" s="14" t="s">
        <v>380</v>
      </c>
      <c r="L36" s="15">
        <v>5</v>
      </c>
      <c r="M36" s="15" t="s">
        <v>16</v>
      </c>
      <c r="N36" s="58" t="s">
        <v>562</v>
      </c>
      <c r="O36" s="15">
        <v>0.4</v>
      </c>
      <c r="P36" s="9">
        <v>25</v>
      </c>
      <c r="Q36" s="1">
        <v>16</v>
      </c>
      <c r="R36" s="10">
        <v>99</v>
      </c>
      <c r="S36" s="15" t="s">
        <v>79</v>
      </c>
    </row>
    <row r="37" spans="1:19">
      <c r="A37" s="10" t="s">
        <v>57</v>
      </c>
      <c r="B37" s="33" t="s">
        <v>366</v>
      </c>
      <c r="C37" s="15">
        <v>1</v>
      </c>
      <c r="D37" s="10" t="s">
        <v>72</v>
      </c>
      <c r="E37" s="10" t="s">
        <v>386</v>
      </c>
      <c r="F37" s="10">
        <v>1</v>
      </c>
      <c r="G37" s="15" t="s">
        <v>77</v>
      </c>
      <c r="H37" s="14" t="s">
        <v>391</v>
      </c>
      <c r="I37" s="15">
        <v>1.5</v>
      </c>
      <c r="J37" s="10" t="s">
        <v>21</v>
      </c>
      <c r="K37" s="14" t="s">
        <v>380</v>
      </c>
      <c r="L37" s="15">
        <v>5</v>
      </c>
      <c r="M37" s="15" t="s">
        <v>16</v>
      </c>
      <c r="N37" s="58" t="s">
        <v>562</v>
      </c>
      <c r="O37" s="15">
        <v>0.7</v>
      </c>
      <c r="P37" s="9">
        <v>25</v>
      </c>
      <c r="Q37" s="1">
        <v>15</v>
      </c>
      <c r="R37" s="10">
        <v>99</v>
      </c>
      <c r="S37" s="15" t="s">
        <v>80</v>
      </c>
    </row>
    <row r="38" spans="1:19">
      <c r="A38" s="10" t="s">
        <v>57</v>
      </c>
      <c r="B38" s="33" t="s">
        <v>366</v>
      </c>
      <c r="C38" s="15">
        <v>1</v>
      </c>
      <c r="D38" s="10" t="s">
        <v>72</v>
      </c>
      <c r="E38" s="10" t="s">
        <v>386</v>
      </c>
      <c r="F38" s="10">
        <v>1</v>
      </c>
      <c r="G38" s="15" t="s">
        <v>77</v>
      </c>
      <c r="H38" s="14" t="s">
        <v>391</v>
      </c>
      <c r="I38" s="15">
        <v>1.5</v>
      </c>
      <c r="J38" s="10" t="s">
        <v>72</v>
      </c>
      <c r="K38" s="15" t="s">
        <v>386</v>
      </c>
      <c r="L38" s="15">
        <v>1</v>
      </c>
      <c r="M38" s="15" t="s">
        <v>81</v>
      </c>
      <c r="N38" s="14" t="s">
        <v>562</v>
      </c>
      <c r="O38" s="15">
        <v>1.2</v>
      </c>
      <c r="P38" s="9">
        <v>25</v>
      </c>
      <c r="Q38" s="1">
        <v>16</v>
      </c>
      <c r="R38" s="10">
        <v>95</v>
      </c>
      <c r="S38" s="15" t="s">
        <v>82</v>
      </c>
    </row>
    <row r="39" spans="1:19">
      <c r="A39" s="10" t="s">
        <v>57</v>
      </c>
      <c r="B39" s="33" t="s">
        <v>366</v>
      </c>
      <c r="C39" s="15">
        <v>1</v>
      </c>
      <c r="D39" s="10" t="s">
        <v>72</v>
      </c>
      <c r="E39" s="10" t="s">
        <v>386</v>
      </c>
      <c r="F39" s="10">
        <v>1</v>
      </c>
      <c r="G39" s="15" t="s">
        <v>77</v>
      </c>
      <c r="H39" s="14" t="s">
        <v>391</v>
      </c>
      <c r="I39" s="15">
        <v>1.05</v>
      </c>
      <c r="J39" s="10" t="s">
        <v>21</v>
      </c>
      <c r="K39" s="14" t="s">
        <v>380</v>
      </c>
      <c r="L39" s="15">
        <v>3</v>
      </c>
      <c r="M39" s="15" t="s">
        <v>22</v>
      </c>
      <c r="N39" s="58" t="s">
        <v>563</v>
      </c>
      <c r="O39" s="15">
        <v>0.5</v>
      </c>
      <c r="P39" s="9">
        <v>25</v>
      </c>
      <c r="Q39" s="1">
        <v>18</v>
      </c>
      <c r="R39" s="10">
        <v>85</v>
      </c>
      <c r="S39" s="15" t="s">
        <v>83</v>
      </c>
    </row>
    <row r="40" spans="1:19">
      <c r="A40" s="10" t="s">
        <v>57</v>
      </c>
      <c r="B40" s="33" t="s">
        <v>366</v>
      </c>
      <c r="C40" s="15">
        <v>1</v>
      </c>
      <c r="D40" s="10" t="s">
        <v>72</v>
      </c>
      <c r="E40" s="10" t="s">
        <v>386</v>
      </c>
      <c r="F40" s="10">
        <v>1</v>
      </c>
      <c r="G40" s="15" t="s">
        <v>77</v>
      </c>
      <c r="H40" s="14" t="s">
        <v>391</v>
      </c>
      <c r="I40" s="15">
        <v>1.05</v>
      </c>
      <c r="J40" s="10" t="s">
        <v>21</v>
      </c>
      <c r="K40" s="14" t="s">
        <v>380</v>
      </c>
      <c r="L40" s="15">
        <v>3</v>
      </c>
      <c r="M40" s="15" t="s">
        <v>22</v>
      </c>
      <c r="N40" s="58" t="s">
        <v>563</v>
      </c>
      <c r="O40" s="15">
        <v>0.4</v>
      </c>
      <c r="P40" s="9">
        <v>25</v>
      </c>
      <c r="Q40" s="1">
        <v>18</v>
      </c>
      <c r="R40" s="10">
        <v>65</v>
      </c>
      <c r="S40" s="15" t="s">
        <v>84</v>
      </c>
    </row>
    <row r="41" spans="1:19">
      <c r="A41" s="10" t="s">
        <v>57</v>
      </c>
      <c r="B41" s="33" t="s">
        <v>366</v>
      </c>
      <c r="C41" s="15">
        <v>1</v>
      </c>
      <c r="D41" s="10" t="s">
        <v>72</v>
      </c>
      <c r="E41" s="10" t="s">
        <v>386</v>
      </c>
      <c r="F41" s="10">
        <v>1</v>
      </c>
      <c r="G41" s="15" t="s">
        <v>77</v>
      </c>
      <c r="H41" s="14" t="s">
        <v>391</v>
      </c>
      <c r="I41" s="15">
        <v>1.5</v>
      </c>
      <c r="J41" s="10" t="s">
        <v>21</v>
      </c>
      <c r="K41" s="14" t="s">
        <v>380</v>
      </c>
      <c r="L41" s="15">
        <v>3</v>
      </c>
      <c r="M41" s="15" t="s">
        <v>22</v>
      </c>
      <c r="N41" s="58" t="s">
        <v>563</v>
      </c>
      <c r="O41" s="15">
        <v>0.4</v>
      </c>
      <c r="P41" s="9">
        <v>25</v>
      </c>
      <c r="Q41" s="1">
        <v>16</v>
      </c>
      <c r="R41" s="10">
        <v>80</v>
      </c>
      <c r="S41" s="15" t="s">
        <v>85</v>
      </c>
    </row>
    <row r="42" spans="1:19">
      <c r="A42" s="10" t="s">
        <v>57</v>
      </c>
      <c r="B42" s="33" t="s">
        <v>366</v>
      </c>
      <c r="C42" s="15">
        <v>1</v>
      </c>
      <c r="D42" s="10" t="s">
        <v>72</v>
      </c>
      <c r="E42" s="10" t="s">
        <v>386</v>
      </c>
      <c r="F42" s="10">
        <v>1</v>
      </c>
      <c r="G42" s="15" t="s">
        <v>77</v>
      </c>
      <c r="H42" s="14" t="s">
        <v>391</v>
      </c>
      <c r="I42" s="15">
        <v>1.5</v>
      </c>
      <c r="J42" s="10" t="s">
        <v>21</v>
      </c>
      <c r="K42" s="14" t="s">
        <v>380</v>
      </c>
      <c r="L42" s="15">
        <v>5</v>
      </c>
      <c r="M42" s="15" t="s">
        <v>16</v>
      </c>
      <c r="N42" s="58" t="s">
        <v>562</v>
      </c>
      <c r="O42" s="15">
        <v>0.22</v>
      </c>
      <c r="P42" s="9">
        <v>25</v>
      </c>
      <c r="Q42" s="1">
        <v>15</v>
      </c>
      <c r="R42" s="10">
        <v>100</v>
      </c>
      <c r="S42" s="15" t="s">
        <v>86</v>
      </c>
    </row>
    <row r="43" spans="1:19">
      <c r="A43" s="10" t="s">
        <v>57</v>
      </c>
      <c r="B43" s="33" t="s">
        <v>366</v>
      </c>
      <c r="C43" s="15">
        <v>1</v>
      </c>
      <c r="D43" s="10" t="s">
        <v>72</v>
      </c>
      <c r="E43" s="10" t="s">
        <v>386</v>
      </c>
      <c r="F43" s="10">
        <v>1</v>
      </c>
      <c r="G43" s="15" t="s">
        <v>77</v>
      </c>
      <c r="H43" s="14" t="s">
        <v>391</v>
      </c>
      <c r="I43" s="15">
        <v>1.05</v>
      </c>
      <c r="J43" s="10" t="s">
        <v>21</v>
      </c>
      <c r="K43" s="14" t="s">
        <v>380</v>
      </c>
      <c r="L43" s="15">
        <v>3</v>
      </c>
      <c r="M43" s="15" t="s">
        <v>16</v>
      </c>
      <c r="N43" s="58" t="s">
        <v>562</v>
      </c>
      <c r="O43" s="15">
        <v>0.5</v>
      </c>
      <c r="P43" s="9">
        <v>25</v>
      </c>
      <c r="Q43" s="1">
        <v>18</v>
      </c>
      <c r="R43" s="10">
        <v>70</v>
      </c>
      <c r="S43" s="15" t="s">
        <v>87</v>
      </c>
    </row>
    <row r="44" spans="1:19">
      <c r="A44" s="10" t="s">
        <v>57</v>
      </c>
      <c r="B44" s="33" t="s">
        <v>366</v>
      </c>
      <c r="C44" s="15">
        <v>1</v>
      </c>
      <c r="D44" s="10" t="s">
        <v>88</v>
      </c>
      <c r="E44" s="10" t="s">
        <v>462</v>
      </c>
      <c r="F44" s="10">
        <v>1</v>
      </c>
      <c r="G44" s="15" t="s">
        <v>77</v>
      </c>
      <c r="H44" s="14" t="s">
        <v>391</v>
      </c>
      <c r="I44" s="15">
        <v>1.05</v>
      </c>
      <c r="J44" s="10" t="s">
        <v>21</v>
      </c>
      <c r="K44" s="14" t="s">
        <v>380</v>
      </c>
      <c r="L44" s="15">
        <v>3</v>
      </c>
      <c r="M44" s="15" t="s">
        <v>16</v>
      </c>
      <c r="N44" s="58" t="s">
        <v>562</v>
      </c>
      <c r="O44" s="15">
        <v>0.3</v>
      </c>
      <c r="P44" s="9">
        <v>25</v>
      </c>
      <c r="Q44" s="1">
        <v>16</v>
      </c>
      <c r="R44" s="10">
        <v>70</v>
      </c>
      <c r="S44" s="15" t="s">
        <v>89</v>
      </c>
    </row>
    <row r="45" spans="1:19">
      <c r="A45" s="10" t="s">
        <v>57</v>
      </c>
      <c r="B45" s="33" t="s">
        <v>366</v>
      </c>
      <c r="C45" s="15">
        <v>1</v>
      </c>
      <c r="D45" s="10" t="s">
        <v>90</v>
      </c>
      <c r="E45" s="10" t="s">
        <v>462</v>
      </c>
      <c r="F45" s="10">
        <v>1</v>
      </c>
      <c r="G45" s="15" t="s">
        <v>77</v>
      </c>
      <c r="H45" s="14" t="s">
        <v>391</v>
      </c>
      <c r="I45" s="15">
        <v>1.25</v>
      </c>
      <c r="J45" s="10" t="s">
        <v>21</v>
      </c>
      <c r="K45" s="14" t="s">
        <v>380</v>
      </c>
      <c r="L45" s="15">
        <v>2</v>
      </c>
      <c r="M45" s="15" t="s">
        <v>91</v>
      </c>
      <c r="N45" s="58" t="s">
        <v>562</v>
      </c>
      <c r="O45" s="15">
        <v>0.4</v>
      </c>
      <c r="P45" s="9">
        <v>25</v>
      </c>
      <c r="Q45" s="1">
        <v>4</v>
      </c>
      <c r="R45" s="10">
        <v>90</v>
      </c>
      <c r="S45" s="15" t="s">
        <v>92</v>
      </c>
    </row>
    <row r="46" spans="1:19">
      <c r="A46" s="10" t="s">
        <v>57</v>
      </c>
      <c r="B46" s="33" t="s">
        <v>366</v>
      </c>
      <c r="C46" s="15">
        <v>1</v>
      </c>
      <c r="D46" s="10" t="s">
        <v>90</v>
      </c>
      <c r="E46" s="10" t="s">
        <v>462</v>
      </c>
      <c r="F46" s="10">
        <v>1</v>
      </c>
      <c r="G46" s="15" t="s">
        <v>47</v>
      </c>
      <c r="H46" s="60" t="s">
        <v>561</v>
      </c>
      <c r="I46" s="15">
        <v>0.9</v>
      </c>
      <c r="J46" s="10" t="s">
        <v>21</v>
      </c>
      <c r="K46" s="14" t="s">
        <v>380</v>
      </c>
      <c r="L46" s="15">
        <v>3.6</v>
      </c>
      <c r="M46" s="15" t="s">
        <v>16</v>
      </c>
      <c r="N46" s="58" t="s">
        <v>562</v>
      </c>
      <c r="O46" s="15">
        <v>0.2</v>
      </c>
      <c r="P46" s="9">
        <v>25</v>
      </c>
      <c r="Q46" s="1">
        <v>15</v>
      </c>
      <c r="R46" s="10">
        <v>96</v>
      </c>
      <c r="S46" s="15" t="s">
        <v>93</v>
      </c>
    </row>
    <row r="47" spans="1:19">
      <c r="A47" s="10" t="s">
        <v>57</v>
      </c>
      <c r="B47" s="33" t="s">
        <v>366</v>
      </c>
      <c r="C47" s="15">
        <v>1</v>
      </c>
      <c r="D47" s="10" t="s">
        <v>90</v>
      </c>
      <c r="E47" s="10" t="s">
        <v>462</v>
      </c>
      <c r="F47" s="10">
        <v>1</v>
      </c>
      <c r="G47" s="15" t="s">
        <v>77</v>
      </c>
      <c r="H47" s="14" t="s">
        <v>391</v>
      </c>
      <c r="I47" s="15">
        <v>1.5</v>
      </c>
      <c r="J47" s="10" t="s">
        <v>21</v>
      </c>
      <c r="K47" s="14" t="s">
        <v>380</v>
      </c>
      <c r="L47" s="15">
        <v>5</v>
      </c>
      <c r="M47" s="15" t="s">
        <v>16</v>
      </c>
      <c r="N47" s="58" t="s">
        <v>562</v>
      </c>
      <c r="O47" s="15">
        <v>0.3</v>
      </c>
      <c r="P47" s="9">
        <v>25</v>
      </c>
      <c r="Q47" s="1">
        <v>15</v>
      </c>
      <c r="R47" s="10">
        <v>99</v>
      </c>
      <c r="S47" s="15" t="s">
        <v>94</v>
      </c>
    </row>
    <row r="48" spans="1:19">
      <c r="A48" s="26" t="s">
        <v>57</v>
      </c>
      <c r="B48" s="33" t="s">
        <v>366</v>
      </c>
      <c r="C48" s="15">
        <v>1</v>
      </c>
      <c r="D48" s="10" t="s">
        <v>95</v>
      </c>
      <c r="E48" s="10" t="s">
        <v>463</v>
      </c>
      <c r="F48" s="10">
        <v>1</v>
      </c>
      <c r="G48" s="15" t="s">
        <v>77</v>
      </c>
      <c r="H48" s="14" t="s">
        <v>391</v>
      </c>
      <c r="I48" s="15">
        <v>1.25</v>
      </c>
      <c r="J48" s="10" t="s">
        <v>21</v>
      </c>
      <c r="K48" s="14" t="s">
        <v>380</v>
      </c>
      <c r="L48" s="15">
        <v>2</v>
      </c>
      <c r="M48" s="15" t="s">
        <v>91</v>
      </c>
      <c r="N48" s="58" t="s">
        <v>562</v>
      </c>
      <c r="O48" s="15">
        <v>0.4</v>
      </c>
      <c r="P48" s="9">
        <v>25</v>
      </c>
      <c r="Q48" s="1">
        <v>4</v>
      </c>
      <c r="R48" s="10">
        <v>91</v>
      </c>
      <c r="S48" s="15" t="s">
        <v>96</v>
      </c>
    </row>
    <row r="49" spans="1:20">
      <c r="A49" s="26" t="s">
        <v>57</v>
      </c>
      <c r="B49" s="33" t="s">
        <v>366</v>
      </c>
      <c r="C49" s="15">
        <v>1</v>
      </c>
      <c r="D49" s="10" t="s">
        <v>97</v>
      </c>
      <c r="E49" s="19" t="s">
        <v>379</v>
      </c>
      <c r="F49" s="10">
        <v>1.6</v>
      </c>
      <c r="G49" s="15" t="s">
        <v>98</v>
      </c>
      <c r="H49" s="14" t="s">
        <v>392</v>
      </c>
      <c r="I49" s="15">
        <v>1.1000000000000001</v>
      </c>
      <c r="J49" s="10" t="s">
        <v>24</v>
      </c>
      <c r="K49" s="14" t="s">
        <v>380</v>
      </c>
      <c r="L49" s="15">
        <v>1.4</v>
      </c>
      <c r="M49" s="15" t="s">
        <v>22</v>
      </c>
      <c r="N49" s="58" t="s">
        <v>563</v>
      </c>
      <c r="O49" s="15">
        <v>0.24</v>
      </c>
      <c r="P49" s="9">
        <v>25</v>
      </c>
      <c r="Q49" s="1">
        <v>16</v>
      </c>
      <c r="R49" s="10">
        <v>83</v>
      </c>
      <c r="S49" s="15" t="s">
        <v>99</v>
      </c>
    </row>
    <row r="50" spans="1:20">
      <c r="A50" s="26" t="s">
        <v>57</v>
      </c>
      <c r="B50" s="33" t="s">
        <v>366</v>
      </c>
      <c r="C50" s="15">
        <v>1</v>
      </c>
      <c r="D50" s="10" t="s">
        <v>97</v>
      </c>
      <c r="E50" s="19" t="s">
        <v>379</v>
      </c>
      <c r="F50" s="10">
        <v>1.3</v>
      </c>
      <c r="G50" s="15" t="s">
        <v>68</v>
      </c>
      <c r="H50" s="15" t="s">
        <v>397</v>
      </c>
      <c r="I50" s="15">
        <v>1.2</v>
      </c>
      <c r="J50" s="44" t="s">
        <v>196</v>
      </c>
      <c r="K50" s="14" t="s">
        <v>381</v>
      </c>
      <c r="L50" s="15">
        <v>2</v>
      </c>
      <c r="M50" s="15" t="s">
        <v>40</v>
      </c>
      <c r="N50" s="14" t="s">
        <v>423</v>
      </c>
      <c r="O50" s="15">
        <v>0.6</v>
      </c>
      <c r="P50" s="9">
        <v>25</v>
      </c>
      <c r="Q50" s="1">
        <v>8</v>
      </c>
      <c r="R50" s="10">
        <v>81</v>
      </c>
      <c r="S50" s="15" t="s">
        <v>100</v>
      </c>
    </row>
    <row r="51" spans="1:20">
      <c r="A51" s="26" t="s">
        <v>57</v>
      </c>
      <c r="B51" s="33" t="s">
        <v>366</v>
      </c>
      <c r="C51" s="15">
        <v>1</v>
      </c>
      <c r="D51" s="10" t="s">
        <v>97</v>
      </c>
      <c r="E51" s="19" t="s">
        <v>379</v>
      </c>
      <c r="F51" s="10">
        <v>1.2</v>
      </c>
      <c r="G51" s="15" t="s">
        <v>47</v>
      </c>
      <c r="H51" s="60" t="s">
        <v>561</v>
      </c>
      <c r="I51" s="15">
        <v>1.3</v>
      </c>
      <c r="J51" s="10" t="s">
        <v>24</v>
      </c>
      <c r="K51" s="14" t="s">
        <v>380</v>
      </c>
      <c r="L51" s="15">
        <v>3.2</v>
      </c>
      <c r="M51" s="15" t="s">
        <v>16</v>
      </c>
      <c r="N51" s="58" t="s">
        <v>562</v>
      </c>
      <c r="O51" s="15">
        <v>0.27</v>
      </c>
      <c r="P51" s="9">
        <v>25</v>
      </c>
      <c r="Q51" s="1">
        <v>18</v>
      </c>
      <c r="R51" s="10">
        <v>91</v>
      </c>
      <c r="S51" s="15" t="s">
        <v>101</v>
      </c>
    </row>
    <row r="52" spans="1:20">
      <c r="A52" s="26" t="s">
        <v>57</v>
      </c>
      <c r="B52" s="33" t="s">
        <v>366</v>
      </c>
      <c r="C52" s="15">
        <v>1</v>
      </c>
      <c r="D52" s="10" t="s">
        <v>97</v>
      </c>
      <c r="E52" s="19" t="s">
        <v>379</v>
      </c>
      <c r="F52" s="10">
        <v>1.2</v>
      </c>
      <c r="G52" s="15" t="s">
        <v>102</v>
      </c>
      <c r="H52" s="15" t="s">
        <v>399</v>
      </c>
      <c r="I52" s="15">
        <v>1</v>
      </c>
      <c r="J52" s="10" t="s">
        <v>51</v>
      </c>
      <c r="K52" s="57" t="s">
        <v>383</v>
      </c>
      <c r="L52" s="15">
        <v>1.2</v>
      </c>
      <c r="M52" s="15" t="s">
        <v>22</v>
      </c>
      <c r="N52" s="58" t="s">
        <v>563</v>
      </c>
      <c r="O52" s="15">
        <v>0.43</v>
      </c>
      <c r="P52" s="9">
        <v>25</v>
      </c>
      <c r="Q52" s="1">
        <v>16</v>
      </c>
      <c r="R52" s="10">
        <v>74</v>
      </c>
      <c r="S52" s="15" t="s">
        <v>103</v>
      </c>
    </row>
    <row r="53" spans="1:20">
      <c r="A53" s="26" t="s">
        <v>57</v>
      </c>
      <c r="B53" s="33" t="s">
        <v>366</v>
      </c>
      <c r="C53" s="15">
        <v>1</v>
      </c>
      <c r="D53" s="10" t="s">
        <v>97</v>
      </c>
      <c r="E53" s="19" t="s">
        <v>379</v>
      </c>
      <c r="F53" s="10">
        <v>1.2</v>
      </c>
      <c r="G53" s="15" t="s">
        <v>38</v>
      </c>
      <c r="H53" s="15" t="s">
        <v>398</v>
      </c>
      <c r="I53" s="15">
        <v>1.2</v>
      </c>
      <c r="J53" s="10" t="s">
        <v>97</v>
      </c>
      <c r="K53" s="14" t="s">
        <v>379</v>
      </c>
      <c r="L53" s="15">
        <v>1</v>
      </c>
      <c r="M53" s="15" t="s">
        <v>16</v>
      </c>
      <c r="N53" s="58" t="s">
        <v>562</v>
      </c>
      <c r="O53" s="15">
        <v>0.2</v>
      </c>
      <c r="P53" s="9">
        <v>25</v>
      </c>
      <c r="Q53" s="1">
        <v>5</v>
      </c>
      <c r="R53" s="10">
        <v>85</v>
      </c>
      <c r="S53" s="15" t="s">
        <v>104</v>
      </c>
    </row>
    <row r="54" spans="1:20">
      <c r="A54" s="10" t="s">
        <v>36</v>
      </c>
      <c r="B54" s="33" t="s">
        <v>367</v>
      </c>
      <c r="C54" s="15">
        <v>1</v>
      </c>
      <c r="D54" s="10" t="s">
        <v>97</v>
      </c>
      <c r="E54" s="19" t="s">
        <v>379</v>
      </c>
      <c r="F54" s="10">
        <v>2</v>
      </c>
      <c r="G54" s="15" t="s">
        <v>105</v>
      </c>
      <c r="H54" s="14" t="s">
        <v>393</v>
      </c>
      <c r="I54" s="15">
        <v>1</v>
      </c>
      <c r="J54" s="10" t="s">
        <v>97</v>
      </c>
      <c r="K54" s="14" t="s">
        <v>379</v>
      </c>
      <c r="L54" s="15">
        <v>1</v>
      </c>
      <c r="M54" s="15" t="s">
        <v>48</v>
      </c>
      <c r="N54" s="15" t="s">
        <v>425</v>
      </c>
      <c r="O54" s="15">
        <v>0.53</v>
      </c>
      <c r="P54" s="9">
        <v>-20</v>
      </c>
      <c r="Q54" s="1">
        <v>16</v>
      </c>
      <c r="R54" s="10">
        <v>72</v>
      </c>
      <c r="S54" s="15" t="s">
        <v>106</v>
      </c>
    </row>
    <row r="55" spans="1:20">
      <c r="A55" s="10" t="s">
        <v>36</v>
      </c>
      <c r="B55" s="33" t="s">
        <v>367</v>
      </c>
      <c r="C55" s="15">
        <v>1</v>
      </c>
      <c r="D55" s="10" t="s">
        <v>97</v>
      </c>
      <c r="E55" s="19" t="s">
        <v>379</v>
      </c>
      <c r="F55" s="10">
        <v>1.2</v>
      </c>
      <c r="G55" s="15" t="s">
        <v>105</v>
      </c>
      <c r="H55" s="14" t="s">
        <v>393</v>
      </c>
      <c r="I55" s="15">
        <v>1.2</v>
      </c>
      <c r="J55" s="10" t="s">
        <v>97</v>
      </c>
      <c r="K55" s="14" t="s">
        <v>379</v>
      </c>
      <c r="L55" s="15">
        <v>1</v>
      </c>
      <c r="M55" s="15" t="s">
        <v>22</v>
      </c>
      <c r="N55" s="58" t="s">
        <v>563</v>
      </c>
      <c r="O55" s="15">
        <v>0.19</v>
      </c>
      <c r="P55" s="9">
        <v>25</v>
      </c>
      <c r="Q55" s="1">
        <v>16</v>
      </c>
      <c r="R55" s="10">
        <v>71</v>
      </c>
      <c r="S55" s="15" t="s">
        <v>107</v>
      </c>
    </row>
    <row r="56" spans="1:20">
      <c r="A56" s="10" t="s">
        <v>36</v>
      </c>
      <c r="B56" s="33" t="s">
        <v>367</v>
      </c>
      <c r="C56" s="15">
        <v>1</v>
      </c>
      <c r="D56" s="10" t="s">
        <v>97</v>
      </c>
      <c r="E56" s="19" t="s">
        <v>379</v>
      </c>
      <c r="F56" s="10">
        <v>1</v>
      </c>
      <c r="G56" s="15" t="s">
        <v>77</v>
      </c>
      <c r="H56" s="14" t="s">
        <v>391</v>
      </c>
      <c r="I56" s="15">
        <v>1</v>
      </c>
      <c r="J56" s="10" t="s">
        <v>24</v>
      </c>
      <c r="K56" s="14" t="s">
        <v>380</v>
      </c>
      <c r="L56" s="15">
        <v>1</v>
      </c>
      <c r="M56" s="15" t="s">
        <v>22</v>
      </c>
      <c r="N56" s="58" t="s">
        <v>563</v>
      </c>
      <c r="O56" s="15">
        <v>0.56999999999999995</v>
      </c>
      <c r="P56" s="9">
        <v>25</v>
      </c>
      <c r="Q56" s="1">
        <v>12</v>
      </c>
      <c r="R56" s="10">
        <v>61</v>
      </c>
      <c r="S56" s="15" t="s">
        <v>108</v>
      </c>
    </row>
    <row r="57" spans="1:20">
      <c r="A57" s="10" t="s">
        <v>36</v>
      </c>
      <c r="B57" s="33" t="s">
        <v>367</v>
      </c>
      <c r="C57" s="15">
        <v>1.2</v>
      </c>
      <c r="D57" s="10" t="s">
        <v>97</v>
      </c>
      <c r="E57" s="19" t="s">
        <v>379</v>
      </c>
      <c r="F57" s="10">
        <v>1</v>
      </c>
      <c r="G57" s="15" t="s">
        <v>109</v>
      </c>
      <c r="H57" s="15" t="s">
        <v>400</v>
      </c>
      <c r="I57" s="15">
        <v>1.1000000000000001</v>
      </c>
      <c r="J57" s="44" t="s">
        <v>196</v>
      </c>
      <c r="K57" s="14" t="s">
        <v>381</v>
      </c>
      <c r="L57" s="15">
        <v>1.1000000000000001</v>
      </c>
      <c r="M57" s="15" t="s">
        <v>110</v>
      </c>
      <c r="N57" s="15" t="s">
        <v>426</v>
      </c>
      <c r="O57" s="15">
        <v>0.4</v>
      </c>
      <c r="P57" s="9">
        <v>70</v>
      </c>
      <c r="Q57" s="1">
        <v>6</v>
      </c>
      <c r="R57" s="10">
        <v>76</v>
      </c>
      <c r="S57" s="15" t="s">
        <v>111</v>
      </c>
    </row>
    <row r="58" spans="1:20">
      <c r="A58" s="10" t="s">
        <v>36</v>
      </c>
      <c r="B58" s="33" t="s">
        <v>367</v>
      </c>
      <c r="C58" s="15">
        <v>1</v>
      </c>
      <c r="D58" s="10" t="s">
        <v>97</v>
      </c>
      <c r="E58" s="19" t="s">
        <v>379</v>
      </c>
      <c r="F58" s="10">
        <v>1</v>
      </c>
      <c r="G58" s="15" t="s">
        <v>112</v>
      </c>
      <c r="H58" s="15" t="s">
        <v>396</v>
      </c>
      <c r="I58" s="15">
        <v>1.1000000000000001</v>
      </c>
      <c r="J58" s="44" t="s">
        <v>196</v>
      </c>
      <c r="K58" s="14" t="s">
        <v>381</v>
      </c>
      <c r="L58" s="15">
        <v>5</v>
      </c>
      <c r="M58" s="15" t="s">
        <v>22</v>
      </c>
      <c r="N58" s="58" t="s">
        <v>563</v>
      </c>
      <c r="O58" s="15">
        <v>0.22</v>
      </c>
      <c r="P58" s="9">
        <v>25</v>
      </c>
      <c r="Q58" s="1">
        <v>16</v>
      </c>
      <c r="R58" s="10">
        <v>59</v>
      </c>
      <c r="S58" s="15" t="s">
        <v>113</v>
      </c>
    </row>
    <row r="59" spans="1:20">
      <c r="A59" s="10" t="s">
        <v>36</v>
      </c>
      <c r="B59" s="33" t="s">
        <v>367</v>
      </c>
      <c r="C59" s="15">
        <v>1</v>
      </c>
      <c r="D59" s="10" t="s">
        <v>97</v>
      </c>
      <c r="E59" s="19" t="s">
        <v>379</v>
      </c>
      <c r="F59" s="10">
        <v>1</v>
      </c>
      <c r="G59" s="15" t="s">
        <v>98</v>
      </c>
      <c r="H59" s="15" t="s">
        <v>392</v>
      </c>
      <c r="I59" s="15">
        <v>1.1000000000000001</v>
      </c>
      <c r="J59" s="10" t="s">
        <v>24</v>
      </c>
      <c r="K59" s="14" t="s">
        <v>380</v>
      </c>
      <c r="L59" s="15">
        <v>2.5</v>
      </c>
      <c r="M59" s="15" t="s">
        <v>16</v>
      </c>
      <c r="N59" s="58" t="s">
        <v>562</v>
      </c>
      <c r="O59" s="15">
        <v>0.5</v>
      </c>
      <c r="P59" s="9">
        <v>25</v>
      </c>
      <c r="Q59" s="1">
        <v>24</v>
      </c>
      <c r="R59" s="10">
        <v>80</v>
      </c>
      <c r="S59" s="15" t="s">
        <v>114</v>
      </c>
    </row>
    <row r="60" spans="1:20">
      <c r="A60" s="10" t="s">
        <v>36</v>
      </c>
      <c r="B60" s="33" t="s">
        <v>367</v>
      </c>
      <c r="C60" s="15">
        <v>1</v>
      </c>
      <c r="D60" s="10" t="s">
        <v>97</v>
      </c>
      <c r="E60" s="19" t="s">
        <v>379</v>
      </c>
      <c r="F60" s="10">
        <v>1.1000000000000001</v>
      </c>
      <c r="G60" s="15" t="s">
        <v>98</v>
      </c>
      <c r="H60" s="15" t="s">
        <v>392</v>
      </c>
      <c r="I60" s="15">
        <v>1.2</v>
      </c>
      <c r="J60" s="10" t="s">
        <v>24</v>
      </c>
      <c r="K60" s="14" t="s">
        <v>380</v>
      </c>
      <c r="L60" s="15">
        <v>5</v>
      </c>
      <c r="M60" s="15" t="s">
        <v>16</v>
      </c>
      <c r="N60" s="58" t="s">
        <v>562</v>
      </c>
      <c r="O60" s="15">
        <v>0.15</v>
      </c>
      <c r="P60" s="9">
        <v>25</v>
      </c>
      <c r="Q60" s="1">
        <v>18</v>
      </c>
      <c r="R60" s="10">
        <v>80</v>
      </c>
      <c r="S60" s="15" t="s">
        <v>115</v>
      </c>
    </row>
    <row r="61" spans="1:20">
      <c r="A61" s="10" t="s">
        <v>36</v>
      </c>
      <c r="B61" s="33" t="s">
        <v>367</v>
      </c>
      <c r="C61" s="15">
        <v>1</v>
      </c>
      <c r="D61" s="10" t="s">
        <v>97</v>
      </c>
      <c r="E61" s="19" t="s">
        <v>379</v>
      </c>
      <c r="F61" s="10">
        <v>1</v>
      </c>
      <c r="G61" s="15" t="s">
        <v>112</v>
      </c>
      <c r="H61" s="15" t="s">
        <v>396</v>
      </c>
      <c r="I61" s="15">
        <v>1.5</v>
      </c>
      <c r="J61" s="10" t="s">
        <v>51</v>
      </c>
      <c r="K61" s="15" t="s">
        <v>383</v>
      </c>
      <c r="L61" s="15">
        <v>2</v>
      </c>
      <c r="M61" s="15" t="s">
        <v>16</v>
      </c>
      <c r="N61" s="58" t="s">
        <v>562</v>
      </c>
      <c r="O61" s="15">
        <v>0.23</v>
      </c>
      <c r="P61" s="9">
        <v>25</v>
      </c>
      <c r="Q61" s="1">
        <v>16</v>
      </c>
      <c r="R61" s="10">
        <v>89</v>
      </c>
      <c r="S61" s="15" t="s">
        <v>116</v>
      </c>
    </row>
    <row r="62" spans="1:20">
      <c r="A62" s="10" t="s">
        <v>36</v>
      </c>
      <c r="B62" s="33" t="s">
        <v>367</v>
      </c>
      <c r="C62" s="15">
        <v>1.1000000000000001</v>
      </c>
      <c r="D62" s="10" t="s">
        <v>97</v>
      </c>
      <c r="E62" s="19" t="s">
        <v>379</v>
      </c>
      <c r="F62" s="10">
        <v>1</v>
      </c>
      <c r="G62" s="15" t="s">
        <v>77</v>
      </c>
      <c r="H62" s="14" t="s">
        <v>391</v>
      </c>
      <c r="I62" s="15">
        <v>1.2</v>
      </c>
      <c r="J62" s="44" t="s">
        <v>196</v>
      </c>
      <c r="K62" s="14" t="s">
        <v>381</v>
      </c>
      <c r="L62" s="15">
        <v>1.3</v>
      </c>
      <c r="M62" s="15" t="s">
        <v>22</v>
      </c>
      <c r="N62" s="58" t="s">
        <v>563</v>
      </c>
      <c r="O62" s="15">
        <v>0.1</v>
      </c>
      <c r="P62" s="9">
        <v>25</v>
      </c>
      <c r="Q62" s="1">
        <v>16</v>
      </c>
      <c r="R62" s="10">
        <v>80</v>
      </c>
      <c r="S62" s="15" t="s">
        <v>117</v>
      </c>
    </row>
    <row r="63" spans="1:20">
      <c r="A63" s="10" t="s">
        <v>36</v>
      </c>
      <c r="B63" s="33" t="s">
        <v>367</v>
      </c>
      <c r="C63" s="15">
        <v>1</v>
      </c>
      <c r="D63" s="10" t="s">
        <v>97</v>
      </c>
      <c r="E63" s="19" t="s">
        <v>379</v>
      </c>
      <c r="F63" s="10">
        <v>1</v>
      </c>
      <c r="G63" s="15" t="s">
        <v>77</v>
      </c>
      <c r="H63" s="14" t="s">
        <v>391</v>
      </c>
      <c r="I63" s="15">
        <v>1</v>
      </c>
      <c r="J63" s="10" t="s">
        <v>24</v>
      </c>
      <c r="K63" s="14" t="s">
        <v>380</v>
      </c>
      <c r="L63" s="15">
        <v>2</v>
      </c>
      <c r="M63" s="15" t="s">
        <v>22</v>
      </c>
      <c r="N63" s="58" t="s">
        <v>563</v>
      </c>
      <c r="O63" s="15">
        <v>0.15</v>
      </c>
      <c r="P63" s="9">
        <v>25</v>
      </c>
      <c r="Q63" s="1">
        <v>3</v>
      </c>
      <c r="R63" s="10">
        <v>86</v>
      </c>
      <c r="S63" s="15" t="s">
        <v>118</v>
      </c>
    </row>
    <row r="64" spans="1:20" s="2" customFormat="1">
      <c r="A64" s="10" t="s">
        <v>119</v>
      </c>
      <c r="B64" s="15" t="s">
        <v>369</v>
      </c>
      <c r="C64" s="15">
        <v>1</v>
      </c>
      <c r="D64" s="10" t="s">
        <v>120</v>
      </c>
      <c r="E64" s="10" t="s">
        <v>457</v>
      </c>
      <c r="F64" s="10">
        <v>1</v>
      </c>
      <c r="G64" s="15" t="s">
        <v>439</v>
      </c>
      <c r="H64" s="15" t="s">
        <v>403</v>
      </c>
      <c r="I64" s="15">
        <v>1</v>
      </c>
      <c r="J64" s="10" t="s">
        <v>121</v>
      </c>
      <c r="K64" s="15" t="s">
        <v>121</v>
      </c>
      <c r="L64" s="15">
        <v>0</v>
      </c>
      <c r="M64" s="17" t="s">
        <v>48</v>
      </c>
      <c r="N64" s="15" t="s">
        <v>425</v>
      </c>
      <c r="O64" s="15">
        <v>0</v>
      </c>
      <c r="P64" s="9">
        <v>0</v>
      </c>
      <c r="Q64" s="1">
        <f>15/60</f>
        <v>0.25</v>
      </c>
      <c r="R64" s="10">
        <v>99</v>
      </c>
      <c r="S64" s="15" t="s">
        <v>122</v>
      </c>
      <c r="T64" s="41"/>
    </row>
    <row r="65" spans="1:20" s="2" customFormat="1">
      <c r="A65" s="10" t="s">
        <v>119</v>
      </c>
      <c r="B65" s="15" t="s">
        <v>369</v>
      </c>
      <c r="C65" s="15">
        <v>1</v>
      </c>
      <c r="D65" s="10" t="s">
        <v>120</v>
      </c>
      <c r="E65" s="10" t="s">
        <v>457</v>
      </c>
      <c r="F65" s="10">
        <v>1</v>
      </c>
      <c r="G65" s="15" t="s">
        <v>123</v>
      </c>
      <c r="H65" s="15" t="s">
        <v>402</v>
      </c>
      <c r="I65" s="15">
        <v>1</v>
      </c>
      <c r="J65" s="10" t="s">
        <v>121</v>
      </c>
      <c r="K65" s="15" t="s">
        <v>121</v>
      </c>
      <c r="L65" s="15">
        <v>0</v>
      </c>
      <c r="M65" s="15" t="s">
        <v>124</v>
      </c>
      <c r="N65" s="15" t="s">
        <v>428</v>
      </c>
      <c r="O65" s="15">
        <v>0</v>
      </c>
      <c r="P65" s="9">
        <v>25</v>
      </c>
      <c r="Q65" s="1">
        <f>5/60</f>
        <v>8.3333333333333329E-2</v>
      </c>
      <c r="R65" s="10">
        <v>98</v>
      </c>
      <c r="S65" s="15" t="s">
        <v>125</v>
      </c>
      <c r="T65" s="41"/>
    </row>
    <row r="66" spans="1:20" s="2" customFormat="1">
      <c r="A66" s="10" t="s">
        <v>119</v>
      </c>
      <c r="B66" s="15" t="s">
        <v>369</v>
      </c>
      <c r="C66" s="15">
        <v>1</v>
      </c>
      <c r="D66" s="10" t="s">
        <v>120</v>
      </c>
      <c r="E66" s="10" t="s">
        <v>457</v>
      </c>
      <c r="F66" s="10">
        <v>1</v>
      </c>
      <c r="G66" s="15" t="s">
        <v>121</v>
      </c>
      <c r="H66" s="15" t="s">
        <v>121</v>
      </c>
      <c r="I66" s="15">
        <v>0</v>
      </c>
      <c r="J66" s="10" t="s">
        <v>121</v>
      </c>
      <c r="K66" s="15" t="s">
        <v>121</v>
      </c>
      <c r="L66" s="15">
        <v>0</v>
      </c>
      <c r="M66" s="15" t="s">
        <v>126</v>
      </c>
      <c r="N66" s="15" t="s">
        <v>428</v>
      </c>
      <c r="O66" s="15">
        <v>0</v>
      </c>
      <c r="P66" s="9">
        <v>25</v>
      </c>
      <c r="Q66" s="1">
        <f>5/60</f>
        <v>8.3333333333333329E-2</v>
      </c>
      <c r="R66" s="10">
        <v>97</v>
      </c>
      <c r="S66" s="15" t="s">
        <v>127</v>
      </c>
      <c r="T66" s="41"/>
    </row>
    <row r="67" spans="1:20" s="2" customFormat="1">
      <c r="A67" s="10" t="s">
        <v>119</v>
      </c>
      <c r="B67" s="15" t="s">
        <v>369</v>
      </c>
      <c r="C67" s="15">
        <v>1</v>
      </c>
      <c r="D67" s="10" t="s">
        <v>120</v>
      </c>
      <c r="E67" s="10" t="s">
        <v>457</v>
      </c>
      <c r="F67" s="10">
        <v>1</v>
      </c>
      <c r="G67" s="15" t="s">
        <v>128</v>
      </c>
      <c r="H67" s="15" t="s">
        <v>404</v>
      </c>
      <c r="I67" s="15">
        <v>1</v>
      </c>
      <c r="J67" s="10" t="s">
        <v>121</v>
      </c>
      <c r="K67" s="15" t="s">
        <v>121</v>
      </c>
      <c r="L67" s="15">
        <v>0</v>
      </c>
      <c r="M67" s="17" t="s">
        <v>22</v>
      </c>
      <c r="N67" s="58" t="s">
        <v>563</v>
      </c>
      <c r="O67" s="15">
        <v>0</v>
      </c>
      <c r="P67" s="9">
        <v>25</v>
      </c>
      <c r="Q67" s="1">
        <f>30/60</f>
        <v>0.5</v>
      </c>
      <c r="R67" s="10">
        <v>96</v>
      </c>
      <c r="S67" s="15" t="s">
        <v>129</v>
      </c>
      <c r="T67" s="41"/>
    </row>
    <row r="68" spans="1:20" s="2" customFormat="1">
      <c r="A68" s="10" t="s">
        <v>119</v>
      </c>
      <c r="B68" s="15" t="s">
        <v>369</v>
      </c>
      <c r="C68" s="15">
        <v>1</v>
      </c>
      <c r="D68" s="10" t="s">
        <v>120</v>
      </c>
      <c r="E68" s="10" t="s">
        <v>457</v>
      </c>
      <c r="F68" s="10">
        <v>1</v>
      </c>
      <c r="G68" s="15" t="s">
        <v>59</v>
      </c>
      <c r="H68" s="14" t="s">
        <v>390</v>
      </c>
      <c r="I68" s="15">
        <v>1</v>
      </c>
      <c r="J68" s="10" t="s">
        <v>121</v>
      </c>
      <c r="K68" s="15" t="s">
        <v>121</v>
      </c>
      <c r="L68" s="15">
        <v>0</v>
      </c>
      <c r="M68" s="17" t="s">
        <v>16</v>
      </c>
      <c r="N68" s="58" t="s">
        <v>562</v>
      </c>
      <c r="O68" s="15">
        <v>0</v>
      </c>
      <c r="P68" s="9">
        <v>25</v>
      </c>
      <c r="Q68" s="1">
        <v>16</v>
      </c>
      <c r="R68" s="10">
        <v>95</v>
      </c>
      <c r="S68" s="15" t="s">
        <v>130</v>
      </c>
      <c r="T68" s="41"/>
    </row>
    <row r="69" spans="1:20" s="2" customFormat="1">
      <c r="A69" s="10" t="s">
        <v>119</v>
      </c>
      <c r="B69" s="15" t="s">
        <v>369</v>
      </c>
      <c r="C69" s="15">
        <v>1</v>
      </c>
      <c r="D69" s="10" t="s">
        <v>120</v>
      </c>
      <c r="E69" s="10" t="s">
        <v>457</v>
      </c>
      <c r="F69" s="10">
        <v>1</v>
      </c>
      <c r="G69" s="15" t="s">
        <v>131</v>
      </c>
      <c r="H69" s="15" t="s">
        <v>405</v>
      </c>
      <c r="I69" s="15">
        <v>1</v>
      </c>
      <c r="J69" s="10" t="s">
        <v>121</v>
      </c>
      <c r="K69" s="15" t="s">
        <v>121</v>
      </c>
      <c r="L69" s="15">
        <v>0</v>
      </c>
      <c r="M69" s="17" t="s">
        <v>48</v>
      </c>
      <c r="N69" s="15" t="s">
        <v>425</v>
      </c>
      <c r="O69" s="15">
        <v>0</v>
      </c>
      <c r="P69" s="9">
        <v>25</v>
      </c>
      <c r="Q69" s="1">
        <f>10/60</f>
        <v>0.16666666666666666</v>
      </c>
      <c r="R69" s="10">
        <v>91</v>
      </c>
      <c r="S69" s="15" t="s">
        <v>132</v>
      </c>
      <c r="T69" s="41"/>
    </row>
    <row r="70" spans="1:20" s="2" customFormat="1">
      <c r="A70" s="10" t="s">
        <v>119</v>
      </c>
      <c r="B70" s="15" t="s">
        <v>369</v>
      </c>
      <c r="C70" s="15">
        <v>1</v>
      </c>
      <c r="D70" s="10" t="s">
        <v>120</v>
      </c>
      <c r="E70" s="10" t="s">
        <v>457</v>
      </c>
      <c r="F70" s="10">
        <v>1</v>
      </c>
      <c r="G70" s="15" t="s">
        <v>128</v>
      </c>
      <c r="H70" s="15" t="s">
        <v>404</v>
      </c>
      <c r="I70" s="15">
        <v>1</v>
      </c>
      <c r="J70" s="10" t="s">
        <v>121</v>
      </c>
      <c r="K70" s="15" t="s">
        <v>121</v>
      </c>
      <c r="L70" s="15">
        <v>0</v>
      </c>
      <c r="M70" s="17" t="s">
        <v>22</v>
      </c>
      <c r="N70" s="58" t="s">
        <v>563</v>
      </c>
      <c r="O70" s="15">
        <v>0</v>
      </c>
      <c r="P70" s="9">
        <v>25</v>
      </c>
      <c r="Q70" s="1">
        <f>30/60</f>
        <v>0.5</v>
      </c>
      <c r="R70" s="10">
        <v>90</v>
      </c>
      <c r="S70" s="15" t="s">
        <v>133</v>
      </c>
      <c r="T70" s="41"/>
    </row>
    <row r="71" spans="1:20" s="2" customFormat="1">
      <c r="A71" s="10" t="s">
        <v>119</v>
      </c>
      <c r="B71" s="15" t="s">
        <v>369</v>
      </c>
      <c r="C71" s="15">
        <v>1</v>
      </c>
      <c r="D71" s="10" t="s">
        <v>120</v>
      </c>
      <c r="E71" s="10" t="s">
        <v>457</v>
      </c>
      <c r="F71" s="10">
        <v>1</v>
      </c>
      <c r="G71" s="15" t="s">
        <v>128</v>
      </c>
      <c r="H71" s="15" t="s">
        <v>404</v>
      </c>
      <c r="I71" s="15">
        <v>1</v>
      </c>
      <c r="J71" s="10" t="s">
        <v>121</v>
      </c>
      <c r="K71" s="15" t="s">
        <v>121</v>
      </c>
      <c r="L71" s="15">
        <v>0</v>
      </c>
      <c r="M71" s="17" t="s">
        <v>22</v>
      </c>
      <c r="N71" s="58" t="s">
        <v>563</v>
      </c>
      <c r="O71" s="15">
        <v>0</v>
      </c>
      <c r="P71" s="9">
        <v>25</v>
      </c>
      <c r="Q71" s="1">
        <f>30/60</f>
        <v>0.5</v>
      </c>
      <c r="R71" s="10">
        <v>90</v>
      </c>
      <c r="S71" s="15" t="s">
        <v>134</v>
      </c>
      <c r="T71" s="41"/>
    </row>
    <row r="72" spans="1:20" s="2" customFormat="1">
      <c r="A72" s="10" t="s">
        <v>119</v>
      </c>
      <c r="B72" s="15" t="s">
        <v>369</v>
      </c>
      <c r="C72" s="15">
        <v>1</v>
      </c>
      <c r="D72" s="10" t="s">
        <v>120</v>
      </c>
      <c r="E72" s="10" t="s">
        <v>457</v>
      </c>
      <c r="F72" s="10">
        <v>1</v>
      </c>
      <c r="G72" s="15" t="s">
        <v>135</v>
      </c>
      <c r="H72" s="15" t="s">
        <v>406</v>
      </c>
      <c r="I72" s="15">
        <v>1</v>
      </c>
      <c r="J72" s="10" t="s">
        <v>121</v>
      </c>
      <c r="K72" s="15" t="s">
        <v>121</v>
      </c>
      <c r="L72" s="15">
        <v>0</v>
      </c>
      <c r="M72" s="15" t="s">
        <v>136</v>
      </c>
      <c r="N72" s="15" t="s">
        <v>432</v>
      </c>
      <c r="O72" s="15">
        <v>0</v>
      </c>
      <c r="P72" s="9">
        <v>155</v>
      </c>
      <c r="Q72" s="1">
        <v>15</v>
      </c>
      <c r="R72" s="10">
        <v>83</v>
      </c>
      <c r="S72" s="15" t="s">
        <v>137</v>
      </c>
      <c r="T72" s="41"/>
    </row>
    <row r="73" spans="1:20" s="2" customFormat="1">
      <c r="A73" s="10" t="s">
        <v>119</v>
      </c>
      <c r="B73" s="15" t="s">
        <v>369</v>
      </c>
      <c r="C73" s="15">
        <v>1</v>
      </c>
      <c r="D73" s="10" t="s">
        <v>120</v>
      </c>
      <c r="E73" s="10" t="s">
        <v>457</v>
      </c>
      <c r="F73" s="10">
        <v>1</v>
      </c>
      <c r="G73" s="15" t="s">
        <v>138</v>
      </c>
      <c r="H73" s="15" t="s">
        <v>407</v>
      </c>
      <c r="I73" s="15">
        <v>1</v>
      </c>
      <c r="J73" s="10" t="s">
        <v>121</v>
      </c>
      <c r="K73" s="15" t="s">
        <v>121</v>
      </c>
      <c r="L73" s="15">
        <v>0</v>
      </c>
      <c r="M73" s="15" t="s">
        <v>139</v>
      </c>
      <c r="N73" s="15" t="s">
        <v>429</v>
      </c>
      <c r="O73" s="15">
        <v>0</v>
      </c>
      <c r="P73" s="9">
        <v>25</v>
      </c>
      <c r="Q73" s="1">
        <v>16</v>
      </c>
      <c r="R73" s="10">
        <v>80</v>
      </c>
      <c r="S73" s="15" t="s">
        <v>140</v>
      </c>
      <c r="T73" s="41"/>
    </row>
    <row r="74" spans="1:20" s="2" customFormat="1">
      <c r="A74" s="10" t="s">
        <v>119</v>
      </c>
      <c r="B74" s="15" t="s">
        <v>369</v>
      </c>
      <c r="C74" s="15">
        <v>1</v>
      </c>
      <c r="D74" s="10" t="s">
        <v>120</v>
      </c>
      <c r="E74" s="10" t="s">
        <v>457</v>
      </c>
      <c r="F74" s="10">
        <v>1</v>
      </c>
      <c r="G74" s="15" t="s">
        <v>141</v>
      </c>
      <c r="H74" s="15" t="s">
        <v>408</v>
      </c>
      <c r="I74" s="15">
        <v>1</v>
      </c>
      <c r="J74" s="10" t="s">
        <v>142</v>
      </c>
      <c r="K74" s="15" t="s">
        <v>121</v>
      </c>
      <c r="L74" s="15">
        <v>0</v>
      </c>
      <c r="M74" s="15" t="s">
        <v>124</v>
      </c>
      <c r="N74" s="15" t="s">
        <v>428</v>
      </c>
      <c r="O74" s="15">
        <v>0</v>
      </c>
      <c r="P74" s="9">
        <v>110</v>
      </c>
      <c r="Q74" s="1">
        <v>4</v>
      </c>
      <c r="R74" s="10">
        <v>59</v>
      </c>
      <c r="S74" s="15" t="s">
        <v>143</v>
      </c>
      <c r="T74" s="41"/>
    </row>
    <row r="75" spans="1:20" s="76" customFormat="1" ht="18">
      <c r="A75" s="63" t="s">
        <v>119</v>
      </c>
      <c r="B75" s="62" t="s">
        <v>369</v>
      </c>
      <c r="C75" s="62">
        <v>1</v>
      </c>
      <c r="D75" s="63" t="s">
        <v>120</v>
      </c>
      <c r="E75" s="63" t="s">
        <v>457</v>
      </c>
      <c r="F75" s="63">
        <v>1</v>
      </c>
      <c r="G75" s="74" t="s">
        <v>409</v>
      </c>
      <c r="H75" s="62" t="s">
        <v>572</v>
      </c>
      <c r="I75" s="62">
        <v>1</v>
      </c>
      <c r="J75" s="63" t="s">
        <v>121</v>
      </c>
      <c r="K75" s="62" t="s">
        <v>121</v>
      </c>
      <c r="L75" s="62">
        <v>0</v>
      </c>
      <c r="M75" s="62" t="s">
        <v>91</v>
      </c>
      <c r="N75" s="65" t="s">
        <v>562</v>
      </c>
      <c r="O75" s="62">
        <v>0</v>
      </c>
      <c r="P75" s="66">
        <v>25</v>
      </c>
      <c r="Q75" s="67">
        <v>12</v>
      </c>
      <c r="R75" s="63">
        <v>51</v>
      </c>
      <c r="S75" s="62" t="s">
        <v>144</v>
      </c>
      <c r="T75" s="75"/>
    </row>
    <row r="76" spans="1:20" s="2" customFormat="1">
      <c r="A76" s="10" t="s">
        <v>119</v>
      </c>
      <c r="B76" s="15" t="s">
        <v>369</v>
      </c>
      <c r="C76" s="15">
        <v>1</v>
      </c>
      <c r="D76" s="10" t="s">
        <v>145</v>
      </c>
      <c r="E76" s="10" t="s">
        <v>464</v>
      </c>
      <c r="F76" s="10">
        <v>1</v>
      </c>
      <c r="G76" s="15" t="s">
        <v>121</v>
      </c>
      <c r="H76" s="15" t="s">
        <v>121</v>
      </c>
      <c r="I76" s="15">
        <v>0</v>
      </c>
      <c r="J76" s="10" t="s">
        <v>121</v>
      </c>
      <c r="K76" s="15" t="s">
        <v>121</v>
      </c>
      <c r="L76" s="15">
        <v>0</v>
      </c>
      <c r="M76" s="17" t="s">
        <v>22</v>
      </c>
      <c r="N76" s="14" t="s">
        <v>563</v>
      </c>
      <c r="O76" s="15">
        <v>0</v>
      </c>
      <c r="P76" s="9">
        <v>25</v>
      </c>
      <c r="Q76" s="1">
        <f>30/60</f>
        <v>0.5</v>
      </c>
      <c r="R76" s="10">
        <v>88</v>
      </c>
      <c r="S76" s="15" t="s">
        <v>146</v>
      </c>
      <c r="T76" s="41"/>
    </row>
    <row r="77" spans="1:20" s="2" customFormat="1">
      <c r="A77" s="10" t="s">
        <v>119</v>
      </c>
      <c r="B77" s="15" t="s">
        <v>369</v>
      </c>
      <c r="C77" s="15">
        <v>1</v>
      </c>
      <c r="D77" s="10" t="s">
        <v>145</v>
      </c>
      <c r="E77" s="10" t="s">
        <v>464</v>
      </c>
      <c r="F77" s="10">
        <v>1</v>
      </c>
      <c r="G77" s="15" t="s">
        <v>121</v>
      </c>
      <c r="H77" s="15" t="s">
        <v>121</v>
      </c>
      <c r="I77" s="15">
        <v>0</v>
      </c>
      <c r="J77" s="10" t="s">
        <v>121</v>
      </c>
      <c r="K77" s="15" t="s">
        <v>121</v>
      </c>
      <c r="L77" s="15">
        <v>0</v>
      </c>
      <c r="M77" s="17" t="s">
        <v>22</v>
      </c>
      <c r="N77" s="58" t="s">
        <v>563</v>
      </c>
      <c r="O77" s="15">
        <v>0</v>
      </c>
      <c r="P77" s="9">
        <v>25</v>
      </c>
      <c r="Q77" s="1">
        <f>30/60</f>
        <v>0.5</v>
      </c>
      <c r="R77" s="10">
        <v>86</v>
      </c>
      <c r="S77" s="15" t="s">
        <v>147</v>
      </c>
      <c r="T77" s="41"/>
    </row>
    <row r="78" spans="1:20" s="2" customFormat="1">
      <c r="A78" s="10" t="s">
        <v>119</v>
      </c>
      <c r="B78" s="15" t="s">
        <v>369</v>
      </c>
      <c r="C78" s="15">
        <v>1</v>
      </c>
      <c r="D78" s="10" t="s">
        <v>145</v>
      </c>
      <c r="E78" s="10" t="s">
        <v>464</v>
      </c>
      <c r="F78" s="10">
        <v>1</v>
      </c>
      <c r="G78" s="15" t="s">
        <v>121</v>
      </c>
      <c r="H78" s="15" t="s">
        <v>121</v>
      </c>
      <c r="I78" s="15">
        <v>0</v>
      </c>
      <c r="J78" s="10" t="s">
        <v>121</v>
      </c>
      <c r="K78" s="15" t="s">
        <v>121</v>
      </c>
      <c r="L78" s="15">
        <v>0</v>
      </c>
      <c r="M78" s="17" t="s">
        <v>40</v>
      </c>
      <c r="N78" s="14" t="s">
        <v>423</v>
      </c>
      <c r="O78" s="15">
        <v>0</v>
      </c>
      <c r="P78" s="9">
        <v>100</v>
      </c>
      <c r="Q78" s="1">
        <v>10</v>
      </c>
      <c r="R78" s="10">
        <v>86</v>
      </c>
      <c r="S78" s="15" t="s">
        <v>148</v>
      </c>
      <c r="T78" s="41"/>
    </row>
    <row r="79" spans="1:20" s="2" customFormat="1">
      <c r="A79" s="10" t="s">
        <v>119</v>
      </c>
      <c r="B79" s="15" t="s">
        <v>369</v>
      </c>
      <c r="C79" s="15">
        <v>0.1</v>
      </c>
      <c r="D79" s="10" t="s">
        <v>145</v>
      </c>
      <c r="E79" s="10" t="s">
        <v>464</v>
      </c>
      <c r="F79" s="10">
        <v>0.15</v>
      </c>
      <c r="G79" s="17" t="s">
        <v>59</v>
      </c>
      <c r="H79" s="16" t="s">
        <v>390</v>
      </c>
      <c r="I79" s="15">
        <v>1.5</v>
      </c>
      <c r="J79" s="10" t="s">
        <v>121</v>
      </c>
      <c r="K79" s="15" t="s">
        <v>121</v>
      </c>
      <c r="L79" s="15">
        <v>0</v>
      </c>
      <c r="M79" s="17" t="s">
        <v>91</v>
      </c>
      <c r="N79" s="58" t="s">
        <v>562</v>
      </c>
      <c r="O79" s="15">
        <v>0</v>
      </c>
      <c r="P79" s="9">
        <v>25</v>
      </c>
      <c r="Q79" s="1">
        <v>48</v>
      </c>
      <c r="R79" s="10">
        <v>89</v>
      </c>
      <c r="S79" s="15" t="s">
        <v>150</v>
      </c>
      <c r="T79" s="41"/>
    </row>
    <row r="80" spans="1:20" s="3" customFormat="1">
      <c r="A80" s="10" t="s">
        <v>119</v>
      </c>
      <c r="B80" s="15" t="s">
        <v>369</v>
      </c>
      <c r="C80" s="15">
        <v>1</v>
      </c>
      <c r="D80" s="10" t="s">
        <v>145</v>
      </c>
      <c r="E80" s="10" t="s">
        <v>464</v>
      </c>
      <c r="F80" s="10">
        <v>1</v>
      </c>
      <c r="G80" s="17" t="s">
        <v>121</v>
      </c>
      <c r="H80" s="17" t="s">
        <v>121</v>
      </c>
      <c r="I80" s="17"/>
      <c r="J80" s="26" t="s">
        <v>24</v>
      </c>
      <c r="K80" s="17">
        <v>2.2000000000000002</v>
      </c>
      <c r="L80" s="15">
        <v>0</v>
      </c>
      <c r="M80" s="17" t="s">
        <v>91</v>
      </c>
      <c r="N80" s="58" t="s">
        <v>562</v>
      </c>
      <c r="O80" s="15">
        <v>2</v>
      </c>
      <c r="P80" s="9">
        <v>25</v>
      </c>
      <c r="Q80" s="1">
        <v>3</v>
      </c>
      <c r="R80" s="10">
        <v>88</v>
      </c>
      <c r="S80" s="15" t="s">
        <v>151</v>
      </c>
      <c r="T80" s="42"/>
    </row>
    <row r="81" spans="1:20" s="3" customFormat="1">
      <c r="A81" s="10" t="s">
        <v>119</v>
      </c>
      <c r="B81" s="15" t="s">
        <v>369</v>
      </c>
      <c r="C81" s="15">
        <v>4</v>
      </c>
      <c r="D81" s="10" t="s">
        <v>145</v>
      </c>
      <c r="E81" s="10" t="s">
        <v>464</v>
      </c>
      <c r="F81" s="10">
        <v>4</v>
      </c>
      <c r="G81" s="15" t="s">
        <v>152</v>
      </c>
      <c r="H81" s="15" t="s">
        <v>410</v>
      </c>
      <c r="I81" s="15">
        <v>0.2</v>
      </c>
      <c r="J81" s="10" t="s">
        <v>121</v>
      </c>
      <c r="K81" s="15" t="s">
        <v>121</v>
      </c>
      <c r="L81" s="15">
        <v>0</v>
      </c>
      <c r="M81" s="15" t="s">
        <v>153</v>
      </c>
      <c r="N81" s="15" t="s">
        <v>430</v>
      </c>
      <c r="O81" s="15">
        <v>5</v>
      </c>
      <c r="P81" s="9">
        <v>25</v>
      </c>
      <c r="Q81" s="1">
        <v>28</v>
      </c>
      <c r="R81" s="10">
        <v>88</v>
      </c>
      <c r="S81" s="15" t="s">
        <v>154</v>
      </c>
      <c r="T81" s="42"/>
    </row>
    <row r="82" spans="1:20" s="3" customFormat="1">
      <c r="A82" s="10" t="s">
        <v>119</v>
      </c>
      <c r="B82" s="15" t="s">
        <v>369</v>
      </c>
      <c r="C82" s="15">
        <v>5</v>
      </c>
      <c r="D82" s="10" t="s">
        <v>145</v>
      </c>
      <c r="E82" s="10" t="s">
        <v>464</v>
      </c>
      <c r="F82" s="10">
        <v>5</v>
      </c>
      <c r="G82" s="17" t="s">
        <v>121</v>
      </c>
      <c r="H82" s="17" t="s">
        <v>121</v>
      </c>
      <c r="I82" s="15"/>
      <c r="J82" s="10" t="s">
        <v>155</v>
      </c>
      <c r="K82" s="14" t="s">
        <v>381</v>
      </c>
      <c r="L82" s="15">
        <v>5</v>
      </c>
      <c r="M82" s="17" t="s">
        <v>48</v>
      </c>
      <c r="N82" s="15" t="s">
        <v>425</v>
      </c>
      <c r="O82" s="15">
        <v>50</v>
      </c>
      <c r="P82" s="9">
        <v>25</v>
      </c>
      <c r="Q82" s="1">
        <v>1</v>
      </c>
      <c r="R82" s="10">
        <v>85</v>
      </c>
      <c r="S82" s="15" t="s">
        <v>156</v>
      </c>
      <c r="T82" s="42"/>
    </row>
    <row r="83" spans="1:20" s="3" customFormat="1">
      <c r="A83" s="10" t="s">
        <v>119</v>
      </c>
      <c r="B83" s="15" t="s">
        <v>369</v>
      </c>
      <c r="C83" s="15">
        <v>1</v>
      </c>
      <c r="D83" s="10" t="s">
        <v>145</v>
      </c>
      <c r="E83" s="10" t="s">
        <v>464</v>
      </c>
      <c r="F83" s="10">
        <v>2</v>
      </c>
      <c r="G83" s="17" t="s">
        <v>121</v>
      </c>
      <c r="H83" s="17" t="s">
        <v>121</v>
      </c>
      <c r="I83" s="15">
        <v>0</v>
      </c>
      <c r="J83" s="10" t="s">
        <v>121</v>
      </c>
      <c r="K83" s="15" t="s">
        <v>121</v>
      </c>
      <c r="L83" s="15">
        <v>0</v>
      </c>
      <c r="M83" s="15" t="s">
        <v>40</v>
      </c>
      <c r="N83" s="14" t="s">
        <v>423</v>
      </c>
      <c r="O83" s="15">
        <v>8.5</v>
      </c>
      <c r="P83" s="9">
        <v>25</v>
      </c>
      <c r="Q83" s="1">
        <v>4</v>
      </c>
      <c r="R83" s="10">
        <v>82</v>
      </c>
      <c r="S83" s="15" t="s">
        <v>157</v>
      </c>
      <c r="T83" s="42"/>
    </row>
    <row r="84" spans="1:20" s="3" customFormat="1">
      <c r="A84" s="10" t="s">
        <v>119</v>
      </c>
      <c r="B84" s="15" t="s">
        <v>369</v>
      </c>
      <c r="C84" s="15">
        <v>1.5</v>
      </c>
      <c r="D84" s="10" t="s">
        <v>145</v>
      </c>
      <c r="E84" s="10" t="s">
        <v>464</v>
      </c>
      <c r="F84" s="10">
        <v>1</v>
      </c>
      <c r="G84" s="15" t="s">
        <v>158</v>
      </c>
      <c r="H84" s="15" t="s">
        <v>411</v>
      </c>
      <c r="I84" s="15">
        <v>0.2</v>
      </c>
      <c r="J84" s="10" t="s">
        <v>121</v>
      </c>
      <c r="K84" s="15" t="s">
        <v>121</v>
      </c>
      <c r="L84" s="15">
        <v>0</v>
      </c>
      <c r="M84" s="15" t="s">
        <v>40</v>
      </c>
      <c r="N84" s="14" t="s">
        <v>423</v>
      </c>
      <c r="O84" s="15">
        <v>0.6</v>
      </c>
      <c r="P84" s="9">
        <v>70</v>
      </c>
      <c r="Q84" s="1">
        <v>24</v>
      </c>
      <c r="R84" s="10">
        <v>82</v>
      </c>
      <c r="S84" s="15" t="s">
        <v>159</v>
      </c>
      <c r="T84" s="42"/>
    </row>
    <row r="85" spans="1:20" s="3" customFormat="1">
      <c r="A85" s="10" t="s">
        <v>119</v>
      </c>
      <c r="B85" s="15" t="s">
        <v>369</v>
      </c>
      <c r="C85" s="15">
        <v>1</v>
      </c>
      <c r="D85" s="10" t="s">
        <v>145</v>
      </c>
      <c r="E85" s="10" t="s">
        <v>464</v>
      </c>
      <c r="F85" s="10">
        <v>2</v>
      </c>
      <c r="G85" s="15" t="s">
        <v>440</v>
      </c>
      <c r="H85" s="15" t="s">
        <v>412</v>
      </c>
      <c r="I85" s="15">
        <v>1.25</v>
      </c>
      <c r="J85" s="10" t="s">
        <v>24</v>
      </c>
      <c r="K85" s="14" t="s">
        <v>380</v>
      </c>
      <c r="L85" s="15">
        <v>3.125</v>
      </c>
      <c r="M85" s="15" t="s">
        <v>22</v>
      </c>
      <c r="N85" s="58" t="s">
        <v>563</v>
      </c>
      <c r="O85" s="15">
        <v>6.4</v>
      </c>
      <c r="P85" s="9">
        <v>25</v>
      </c>
      <c r="Q85" s="1">
        <v>1</v>
      </c>
      <c r="R85" s="10">
        <v>81</v>
      </c>
      <c r="S85" s="15" t="s">
        <v>160</v>
      </c>
      <c r="T85" s="42"/>
    </row>
    <row r="86" spans="1:20" s="3" customFormat="1">
      <c r="A86" s="10" t="s">
        <v>119</v>
      </c>
      <c r="B86" s="15" t="s">
        <v>369</v>
      </c>
      <c r="C86" s="15">
        <v>1</v>
      </c>
      <c r="D86" s="10" t="s">
        <v>145</v>
      </c>
      <c r="E86" s="10" t="s">
        <v>464</v>
      </c>
      <c r="F86" s="10">
        <v>1</v>
      </c>
      <c r="G86" s="15" t="s">
        <v>121</v>
      </c>
      <c r="H86" s="15" t="s">
        <v>121</v>
      </c>
      <c r="I86" s="15">
        <v>0</v>
      </c>
      <c r="J86" s="10" t="s">
        <v>24</v>
      </c>
      <c r="K86" s="14" t="s">
        <v>380</v>
      </c>
      <c r="L86" s="15">
        <v>0</v>
      </c>
      <c r="M86" s="15" t="s">
        <v>16</v>
      </c>
      <c r="N86" s="58" t="s">
        <v>562</v>
      </c>
      <c r="O86" s="15">
        <v>0</v>
      </c>
      <c r="P86" s="9">
        <v>25</v>
      </c>
      <c r="Q86" s="1">
        <v>1.5</v>
      </c>
      <c r="R86" s="10">
        <v>77</v>
      </c>
      <c r="S86" s="15" t="s">
        <v>161</v>
      </c>
      <c r="T86" s="42"/>
    </row>
    <row r="87" spans="1:20" s="3" customFormat="1">
      <c r="A87" s="10" t="s">
        <v>119</v>
      </c>
      <c r="B87" s="15" t="s">
        <v>369</v>
      </c>
      <c r="C87" s="15">
        <v>1</v>
      </c>
      <c r="D87" s="10" t="s">
        <v>145</v>
      </c>
      <c r="E87" s="10" t="s">
        <v>464</v>
      </c>
      <c r="F87" s="10">
        <v>1</v>
      </c>
      <c r="G87" s="15" t="s">
        <v>59</v>
      </c>
      <c r="H87" s="14" t="s">
        <v>390</v>
      </c>
      <c r="I87" s="15">
        <v>1.3</v>
      </c>
      <c r="J87" s="10" t="s">
        <v>162</v>
      </c>
      <c r="K87" s="15" t="s">
        <v>384</v>
      </c>
      <c r="L87" s="15">
        <v>2</v>
      </c>
      <c r="M87" s="15" t="s">
        <v>163</v>
      </c>
      <c r="N87" s="15" t="s">
        <v>435</v>
      </c>
      <c r="O87" s="15">
        <v>0.5</v>
      </c>
      <c r="P87" s="9">
        <v>60</v>
      </c>
      <c r="Q87" s="1">
        <v>0.25</v>
      </c>
      <c r="R87" s="10">
        <v>99</v>
      </c>
      <c r="S87" s="15" t="s">
        <v>164</v>
      </c>
      <c r="T87" s="42"/>
    </row>
    <row r="88" spans="1:20" s="69" customFormat="1">
      <c r="A88" s="63" t="s">
        <v>165</v>
      </c>
      <c r="B88" s="62" t="s">
        <v>370</v>
      </c>
      <c r="C88" s="62">
        <v>1</v>
      </c>
      <c r="D88" s="63" t="s">
        <v>166</v>
      </c>
      <c r="E88" s="63" t="s">
        <v>467</v>
      </c>
      <c r="F88" s="63">
        <v>1.2</v>
      </c>
      <c r="G88" s="62" t="s">
        <v>102</v>
      </c>
      <c r="H88" s="62" t="s">
        <v>399</v>
      </c>
      <c r="I88" s="62">
        <v>1.1000000000000001</v>
      </c>
      <c r="J88" s="64" t="s">
        <v>196</v>
      </c>
      <c r="K88" s="65" t="s">
        <v>381</v>
      </c>
      <c r="L88" s="62">
        <v>3</v>
      </c>
      <c r="M88" s="62" t="s">
        <v>16</v>
      </c>
      <c r="N88" s="65" t="s">
        <v>562</v>
      </c>
      <c r="O88" s="62">
        <v>0</v>
      </c>
      <c r="P88" s="66">
        <v>25</v>
      </c>
      <c r="Q88" s="67">
        <v>12</v>
      </c>
      <c r="R88" s="63">
        <v>49</v>
      </c>
      <c r="S88" s="62" t="s">
        <v>167</v>
      </c>
      <c r="T88" s="68"/>
    </row>
    <row r="89" spans="1:20" s="69" customFormat="1">
      <c r="A89" s="63" t="s">
        <v>165</v>
      </c>
      <c r="B89" s="62" t="s">
        <v>370</v>
      </c>
      <c r="C89" s="62">
        <v>1</v>
      </c>
      <c r="D89" s="63" t="s">
        <v>166</v>
      </c>
      <c r="E89" s="63" t="s">
        <v>467</v>
      </c>
      <c r="F89" s="63">
        <v>1</v>
      </c>
      <c r="G89" s="62" t="s">
        <v>59</v>
      </c>
      <c r="H89" s="65" t="s">
        <v>390</v>
      </c>
      <c r="I89" s="62">
        <v>1</v>
      </c>
      <c r="J89" s="63" t="s">
        <v>121</v>
      </c>
      <c r="K89" s="62" t="s">
        <v>121</v>
      </c>
      <c r="L89" s="62">
        <v>0</v>
      </c>
      <c r="M89" s="62" t="s">
        <v>168</v>
      </c>
      <c r="N89" s="62" t="s">
        <v>573</v>
      </c>
      <c r="O89" s="62">
        <v>0</v>
      </c>
      <c r="P89" s="66">
        <v>40</v>
      </c>
      <c r="Q89" s="67">
        <v>2</v>
      </c>
      <c r="R89" s="63">
        <v>88</v>
      </c>
      <c r="S89" s="62" t="s">
        <v>169</v>
      </c>
      <c r="T89" s="68"/>
    </row>
    <row r="90" spans="1:20" s="3" customFormat="1">
      <c r="A90" s="10" t="s">
        <v>170</v>
      </c>
      <c r="B90" s="15" t="s">
        <v>371</v>
      </c>
      <c r="C90" s="15">
        <v>1.1000000000000001</v>
      </c>
      <c r="D90" s="10" t="s">
        <v>171</v>
      </c>
      <c r="E90" s="10" t="s">
        <v>465</v>
      </c>
      <c r="F90" s="10">
        <v>1</v>
      </c>
      <c r="G90" s="15" t="s">
        <v>59</v>
      </c>
      <c r="H90" s="14" t="s">
        <v>390</v>
      </c>
      <c r="I90" s="15">
        <v>1.2</v>
      </c>
      <c r="J90" s="10" t="s">
        <v>149</v>
      </c>
      <c r="K90" s="15" t="s">
        <v>387</v>
      </c>
      <c r="L90" s="15">
        <v>1.1000000000000001</v>
      </c>
      <c r="M90" s="15" t="s">
        <v>16</v>
      </c>
      <c r="N90" s="58" t="s">
        <v>562</v>
      </c>
      <c r="O90" s="15">
        <v>2.2000000000000002</v>
      </c>
      <c r="P90" s="9">
        <v>25</v>
      </c>
      <c r="Q90" s="1">
        <v>12</v>
      </c>
      <c r="R90" s="10">
        <v>90</v>
      </c>
      <c r="S90" s="15" t="s">
        <v>172</v>
      </c>
      <c r="T90" s="42"/>
    </row>
    <row r="91" spans="1:20" s="69" customFormat="1">
      <c r="A91" s="63" t="s">
        <v>170</v>
      </c>
      <c r="B91" s="15" t="s">
        <v>371</v>
      </c>
      <c r="C91" s="62">
        <v>1.2</v>
      </c>
      <c r="D91" s="61" t="s">
        <v>566</v>
      </c>
      <c r="E91" s="63" t="s">
        <v>567</v>
      </c>
      <c r="F91" s="63">
        <v>1</v>
      </c>
      <c r="G91" s="62" t="s">
        <v>15</v>
      </c>
      <c r="H91" s="62" t="s">
        <v>392</v>
      </c>
      <c r="I91" s="62">
        <v>1.5</v>
      </c>
      <c r="J91" s="64" t="s">
        <v>568</v>
      </c>
      <c r="K91" s="65" t="s">
        <v>569</v>
      </c>
      <c r="L91" s="62">
        <v>2</v>
      </c>
      <c r="M91" s="62" t="s">
        <v>16</v>
      </c>
      <c r="N91" s="65" t="s">
        <v>562</v>
      </c>
      <c r="O91" s="62">
        <v>0</v>
      </c>
      <c r="P91" s="66">
        <v>80</v>
      </c>
      <c r="Q91" s="67">
        <v>6</v>
      </c>
      <c r="R91" s="63">
        <v>59</v>
      </c>
      <c r="S91" s="62" t="s">
        <v>173</v>
      </c>
      <c r="T91" s="68"/>
    </row>
    <row r="92" spans="1:20" s="69" customFormat="1">
      <c r="A92" s="63" t="s">
        <v>375</v>
      </c>
      <c r="B92" s="62" t="s">
        <v>376</v>
      </c>
      <c r="C92" s="62">
        <v>1</v>
      </c>
      <c r="D92" s="63" t="s">
        <v>171</v>
      </c>
      <c r="E92" s="63" t="s">
        <v>466</v>
      </c>
      <c r="F92" s="63">
        <v>1</v>
      </c>
      <c r="G92" s="62" t="s">
        <v>121</v>
      </c>
      <c r="H92" s="62" t="s">
        <v>121</v>
      </c>
      <c r="I92" s="62">
        <v>0</v>
      </c>
      <c r="J92" s="63" t="s">
        <v>121</v>
      </c>
      <c r="K92" s="62" t="s">
        <v>121</v>
      </c>
      <c r="L92" s="62">
        <v>0</v>
      </c>
      <c r="M92" s="62" t="s">
        <v>174</v>
      </c>
      <c r="N92" s="62" t="s">
        <v>435</v>
      </c>
      <c r="O92" s="62">
        <v>0</v>
      </c>
      <c r="P92" s="66">
        <v>25</v>
      </c>
      <c r="Q92" s="67">
        <v>0.25</v>
      </c>
      <c r="R92" s="63">
        <v>85</v>
      </c>
      <c r="S92" s="62" t="s">
        <v>175</v>
      </c>
      <c r="T92" s="68"/>
    </row>
    <row r="93" spans="1:20" s="3" customFormat="1">
      <c r="A93" s="26" t="s">
        <v>375</v>
      </c>
      <c r="B93" s="15" t="s">
        <v>376</v>
      </c>
      <c r="C93" s="15">
        <v>1</v>
      </c>
      <c r="D93" s="10" t="s">
        <v>171</v>
      </c>
      <c r="E93" s="10" t="s">
        <v>466</v>
      </c>
      <c r="F93" s="10">
        <v>1.1000000000000001</v>
      </c>
      <c r="G93" s="15" t="s">
        <v>59</v>
      </c>
      <c r="H93" s="14" t="s">
        <v>390</v>
      </c>
      <c r="I93" s="15">
        <v>1.5</v>
      </c>
      <c r="J93" s="10" t="s">
        <v>121</v>
      </c>
      <c r="K93" s="15" t="s">
        <v>121</v>
      </c>
      <c r="L93" s="15">
        <v>0</v>
      </c>
      <c r="M93" s="15" t="s">
        <v>16</v>
      </c>
      <c r="N93" s="58" t="s">
        <v>562</v>
      </c>
      <c r="O93" s="15">
        <v>2.5000000000000001E-2</v>
      </c>
      <c r="P93" s="9">
        <v>25</v>
      </c>
      <c r="Q93" s="1">
        <v>24</v>
      </c>
      <c r="R93" s="10">
        <v>86</v>
      </c>
      <c r="S93" s="15" t="s">
        <v>176</v>
      </c>
      <c r="T93" s="42"/>
    </row>
    <row r="94" spans="1:20" s="69" customFormat="1">
      <c r="A94" s="63" t="s">
        <v>177</v>
      </c>
      <c r="B94" s="62" t="s">
        <v>377</v>
      </c>
      <c r="C94" s="62">
        <v>1</v>
      </c>
      <c r="D94" s="63" t="s">
        <v>178</v>
      </c>
      <c r="E94" s="63" t="s">
        <v>468</v>
      </c>
      <c r="F94" s="63">
        <v>1</v>
      </c>
      <c r="G94" s="62" t="s">
        <v>59</v>
      </c>
      <c r="H94" s="65" t="s">
        <v>390</v>
      </c>
      <c r="I94" s="62">
        <v>1.1000000000000001</v>
      </c>
      <c r="J94" s="63" t="s">
        <v>121</v>
      </c>
      <c r="K94" s="62" t="s">
        <v>121</v>
      </c>
      <c r="L94" s="62">
        <v>0</v>
      </c>
      <c r="M94" s="62" t="s">
        <v>16</v>
      </c>
      <c r="N94" s="65" t="s">
        <v>562</v>
      </c>
      <c r="O94" s="62">
        <v>0</v>
      </c>
      <c r="P94" s="66">
        <v>25</v>
      </c>
      <c r="Q94" s="67">
        <v>2</v>
      </c>
      <c r="R94" s="63">
        <v>80</v>
      </c>
      <c r="S94" s="62" t="s">
        <v>179</v>
      </c>
      <c r="T94" s="68"/>
    </row>
    <row r="95" spans="1:20" s="3" customFormat="1">
      <c r="A95" s="10" t="s">
        <v>180</v>
      </c>
      <c r="B95" s="15" t="s">
        <v>378</v>
      </c>
      <c r="C95" s="15">
        <v>1</v>
      </c>
      <c r="D95" s="10" t="s">
        <v>171</v>
      </c>
      <c r="E95" s="10" t="s">
        <v>466</v>
      </c>
      <c r="F95" s="10">
        <v>1.5</v>
      </c>
      <c r="G95" s="17" t="s">
        <v>59</v>
      </c>
      <c r="H95" s="14" t="s">
        <v>390</v>
      </c>
      <c r="I95" s="15">
        <v>1.5</v>
      </c>
      <c r="J95" s="26" t="s">
        <v>21</v>
      </c>
      <c r="K95" s="14" t="s">
        <v>380</v>
      </c>
      <c r="L95" s="15">
        <v>3</v>
      </c>
      <c r="M95" s="17" t="s">
        <v>91</v>
      </c>
      <c r="N95" s="58" t="s">
        <v>562</v>
      </c>
      <c r="O95" s="15">
        <v>0</v>
      </c>
      <c r="P95" s="9">
        <v>25</v>
      </c>
      <c r="Q95" s="1">
        <v>16</v>
      </c>
      <c r="R95" s="10">
        <v>55</v>
      </c>
      <c r="S95" s="15" t="s">
        <v>181</v>
      </c>
      <c r="T95" s="42"/>
    </row>
    <row r="96" spans="1:20" s="2" customFormat="1">
      <c r="A96" s="10" t="s">
        <v>119</v>
      </c>
      <c r="B96" s="15" t="s">
        <v>369</v>
      </c>
      <c r="C96" s="15">
        <v>1.1000000000000001</v>
      </c>
      <c r="D96" s="10" t="s">
        <v>182</v>
      </c>
      <c r="E96" s="10" t="s">
        <v>469</v>
      </c>
      <c r="F96" s="10">
        <v>1</v>
      </c>
      <c r="G96" s="15" t="s">
        <v>183</v>
      </c>
      <c r="H96" s="15" t="s">
        <v>413</v>
      </c>
      <c r="I96" s="15">
        <v>0.1</v>
      </c>
      <c r="J96" s="10" t="s">
        <v>121</v>
      </c>
      <c r="K96" s="15" t="s">
        <v>121</v>
      </c>
      <c r="L96" s="15">
        <v>0</v>
      </c>
      <c r="M96" s="15" t="s">
        <v>153</v>
      </c>
      <c r="N96" s="15" t="s">
        <v>430</v>
      </c>
      <c r="O96" s="15">
        <v>0</v>
      </c>
      <c r="P96" s="9">
        <v>100</v>
      </c>
      <c r="Q96" s="1">
        <v>6</v>
      </c>
      <c r="R96" s="10">
        <v>98</v>
      </c>
      <c r="S96" s="15" t="s">
        <v>184</v>
      </c>
      <c r="T96" s="41"/>
    </row>
    <row r="97" spans="1:20" s="2" customFormat="1">
      <c r="A97" s="10" t="s">
        <v>119</v>
      </c>
      <c r="B97" s="15" t="s">
        <v>369</v>
      </c>
      <c r="C97" s="15">
        <v>1</v>
      </c>
      <c r="D97" s="10" t="s">
        <v>171</v>
      </c>
      <c r="E97" s="10" t="s">
        <v>466</v>
      </c>
      <c r="F97" s="10">
        <v>1</v>
      </c>
      <c r="G97" s="15" t="s">
        <v>185</v>
      </c>
      <c r="H97" s="15" t="s">
        <v>414</v>
      </c>
      <c r="I97" s="15">
        <v>0.01</v>
      </c>
      <c r="J97" s="10" t="s">
        <v>121</v>
      </c>
      <c r="K97" s="15" t="s">
        <v>121</v>
      </c>
      <c r="L97" s="15">
        <v>0</v>
      </c>
      <c r="M97" s="15" t="s">
        <v>186</v>
      </c>
      <c r="N97" s="15" t="s">
        <v>428</v>
      </c>
      <c r="O97" s="15">
        <v>0</v>
      </c>
      <c r="P97" s="9">
        <v>100</v>
      </c>
      <c r="Q97" s="1">
        <v>14</v>
      </c>
      <c r="R97" s="10">
        <v>76</v>
      </c>
      <c r="S97" s="15" t="s">
        <v>184</v>
      </c>
      <c r="T97" s="41"/>
    </row>
    <row r="98" spans="1:20" s="2" customFormat="1">
      <c r="A98" s="10" t="s">
        <v>119</v>
      </c>
      <c r="B98" s="15" t="s">
        <v>369</v>
      </c>
      <c r="C98" s="15">
        <v>1</v>
      </c>
      <c r="D98" s="10" t="s">
        <v>187</v>
      </c>
      <c r="E98" s="1" t="s">
        <v>470</v>
      </c>
      <c r="F98" s="10">
        <v>1</v>
      </c>
      <c r="G98" s="15" t="s">
        <v>281</v>
      </c>
      <c r="H98" s="34" t="s">
        <v>395</v>
      </c>
      <c r="I98" s="15">
        <v>1</v>
      </c>
      <c r="J98" s="26" t="s">
        <v>21</v>
      </c>
      <c r="K98" s="14" t="s">
        <v>380</v>
      </c>
      <c r="L98" s="15">
        <v>2</v>
      </c>
      <c r="M98" s="15" t="s">
        <v>433</v>
      </c>
      <c r="N98" s="15" t="s">
        <v>436</v>
      </c>
      <c r="O98" s="15">
        <v>0</v>
      </c>
      <c r="P98" s="9">
        <v>25</v>
      </c>
      <c r="Q98" s="1">
        <v>24</v>
      </c>
      <c r="R98" s="10">
        <v>100</v>
      </c>
      <c r="S98" s="15" t="s">
        <v>188</v>
      </c>
      <c r="T98" s="41"/>
    </row>
    <row r="99" spans="1:20" s="2" customFormat="1">
      <c r="A99" s="10" t="s">
        <v>180</v>
      </c>
      <c r="B99" s="15" t="s">
        <v>378</v>
      </c>
      <c r="C99" s="15">
        <v>1</v>
      </c>
      <c r="D99" s="10" t="s">
        <v>171</v>
      </c>
      <c r="E99" s="10" t="s">
        <v>466</v>
      </c>
      <c r="F99" s="10">
        <v>1</v>
      </c>
      <c r="G99" s="15" t="s">
        <v>121</v>
      </c>
      <c r="H99" s="15" t="s">
        <v>121</v>
      </c>
      <c r="I99" s="15">
        <v>0</v>
      </c>
      <c r="J99" s="26" t="s">
        <v>21</v>
      </c>
      <c r="K99" s="14" t="s">
        <v>380</v>
      </c>
      <c r="L99" s="15">
        <v>2</v>
      </c>
      <c r="M99" s="17" t="s">
        <v>91</v>
      </c>
      <c r="N99" s="58" t="s">
        <v>562</v>
      </c>
      <c r="O99" s="15">
        <v>0</v>
      </c>
      <c r="P99" s="9">
        <v>25</v>
      </c>
      <c r="Q99" s="1">
        <v>16</v>
      </c>
      <c r="R99" s="10">
        <v>54</v>
      </c>
      <c r="S99" s="15" t="s">
        <v>189</v>
      </c>
      <c r="T99" s="41"/>
    </row>
    <row r="100" spans="1:20" s="2" customFormat="1">
      <c r="A100" s="10" t="s">
        <v>190</v>
      </c>
      <c r="B100" s="15" t="s">
        <v>441</v>
      </c>
      <c r="C100" s="15">
        <v>1</v>
      </c>
      <c r="D100" s="10" t="s">
        <v>171</v>
      </c>
      <c r="E100" s="10" t="s">
        <v>466</v>
      </c>
      <c r="F100" s="10">
        <v>1</v>
      </c>
      <c r="G100" s="17" t="s">
        <v>281</v>
      </c>
      <c r="H100" s="34" t="s">
        <v>395</v>
      </c>
      <c r="I100" s="15">
        <v>1</v>
      </c>
      <c r="J100" s="26" t="s">
        <v>21</v>
      </c>
      <c r="K100" s="14" t="s">
        <v>380</v>
      </c>
      <c r="L100" s="15">
        <v>2</v>
      </c>
      <c r="M100" s="17" t="s">
        <v>91</v>
      </c>
      <c r="N100" s="58" t="s">
        <v>562</v>
      </c>
      <c r="O100" s="15">
        <v>0</v>
      </c>
      <c r="P100" s="9">
        <v>25</v>
      </c>
      <c r="Q100" s="1">
        <v>16</v>
      </c>
      <c r="R100" s="10">
        <v>57</v>
      </c>
      <c r="S100" s="15" t="s">
        <v>191</v>
      </c>
      <c r="T100" s="41"/>
    </row>
    <row r="101" spans="1:20" s="2" customFormat="1">
      <c r="A101" s="10" t="s">
        <v>192</v>
      </c>
      <c r="B101" s="15" t="s">
        <v>442</v>
      </c>
      <c r="C101" s="15">
        <v>1</v>
      </c>
      <c r="D101" s="10" t="s">
        <v>171</v>
      </c>
      <c r="E101" s="10" t="s">
        <v>466</v>
      </c>
      <c r="F101" s="10">
        <v>1</v>
      </c>
      <c r="G101" s="17" t="s">
        <v>30</v>
      </c>
      <c r="H101" s="14" t="s">
        <v>391</v>
      </c>
      <c r="I101" s="15">
        <v>1.5</v>
      </c>
      <c r="J101" s="26" t="s">
        <v>21</v>
      </c>
      <c r="K101" s="14" t="s">
        <v>380</v>
      </c>
      <c r="L101" s="15">
        <v>1.5</v>
      </c>
      <c r="M101" s="17" t="s">
        <v>91</v>
      </c>
      <c r="N101" s="58" t="s">
        <v>562</v>
      </c>
      <c r="O101" s="15">
        <v>0</v>
      </c>
      <c r="P101" s="9">
        <v>25</v>
      </c>
      <c r="Q101" s="1">
        <v>16</v>
      </c>
      <c r="R101" s="10">
        <v>69</v>
      </c>
      <c r="S101" s="15" t="s">
        <v>193</v>
      </c>
      <c r="T101" s="41"/>
    </row>
    <row r="102" spans="1:20" s="2" customFormat="1">
      <c r="A102" s="10" t="s">
        <v>194</v>
      </c>
      <c r="B102" s="15" t="s">
        <v>443</v>
      </c>
      <c r="C102" s="15">
        <v>1</v>
      </c>
      <c r="D102" s="10" t="s">
        <v>195</v>
      </c>
      <c r="E102" s="10" t="s">
        <v>471</v>
      </c>
      <c r="F102" s="10">
        <v>1</v>
      </c>
      <c r="G102" s="17" t="s">
        <v>30</v>
      </c>
      <c r="H102" s="14" t="s">
        <v>391</v>
      </c>
      <c r="I102" s="15">
        <v>2</v>
      </c>
      <c r="J102" s="44" t="s">
        <v>196</v>
      </c>
      <c r="K102" s="14" t="s">
        <v>381</v>
      </c>
      <c r="L102" s="15">
        <v>2</v>
      </c>
      <c r="M102" s="17" t="s">
        <v>48</v>
      </c>
      <c r="N102" s="15" t="s">
        <v>425</v>
      </c>
      <c r="O102" s="15">
        <v>0</v>
      </c>
      <c r="P102" s="9">
        <v>25</v>
      </c>
      <c r="Q102" s="1">
        <v>12</v>
      </c>
      <c r="R102" s="10">
        <v>51</v>
      </c>
      <c r="S102" s="15" t="s">
        <v>197</v>
      </c>
      <c r="T102" s="41"/>
    </row>
    <row r="103" spans="1:20" s="2" customFormat="1">
      <c r="A103" s="10" t="s">
        <v>198</v>
      </c>
      <c r="B103" s="15" t="s">
        <v>444</v>
      </c>
      <c r="C103" s="15">
        <v>1</v>
      </c>
      <c r="D103" s="10" t="s">
        <v>171</v>
      </c>
      <c r="E103" s="10" t="s">
        <v>466</v>
      </c>
      <c r="F103" s="10">
        <v>1</v>
      </c>
      <c r="G103" s="15" t="s">
        <v>131</v>
      </c>
      <c r="H103" s="15" t="s">
        <v>405</v>
      </c>
      <c r="I103" s="15">
        <v>1</v>
      </c>
      <c r="J103" s="44" t="s">
        <v>196</v>
      </c>
      <c r="K103" s="14" t="s">
        <v>381</v>
      </c>
      <c r="L103" s="15">
        <v>1</v>
      </c>
      <c r="M103" s="17" t="s">
        <v>91</v>
      </c>
      <c r="N103" s="58" t="s">
        <v>562</v>
      </c>
      <c r="O103" s="15">
        <v>0</v>
      </c>
      <c r="P103" s="9">
        <v>25</v>
      </c>
      <c r="Q103" s="1">
        <v>0.5</v>
      </c>
      <c r="R103" s="10">
        <v>73</v>
      </c>
      <c r="S103" s="15" t="s">
        <v>199</v>
      </c>
      <c r="T103" s="41"/>
    </row>
    <row r="104" spans="1:20" s="2" customFormat="1">
      <c r="A104" s="10" t="s">
        <v>190</v>
      </c>
      <c r="B104" s="15" t="s">
        <v>441</v>
      </c>
      <c r="C104" s="15">
        <v>1</v>
      </c>
      <c r="D104" s="10" t="s">
        <v>171</v>
      </c>
      <c r="E104" s="10" t="s">
        <v>466</v>
      </c>
      <c r="F104" s="10">
        <v>1</v>
      </c>
      <c r="G104" s="15" t="s">
        <v>59</v>
      </c>
      <c r="H104" s="14" t="s">
        <v>390</v>
      </c>
      <c r="I104" s="15">
        <v>1.5</v>
      </c>
      <c r="J104" s="26" t="s">
        <v>21</v>
      </c>
      <c r="K104" s="14" t="s">
        <v>380</v>
      </c>
      <c r="L104" s="15">
        <v>2</v>
      </c>
      <c r="M104" s="17" t="s">
        <v>91</v>
      </c>
      <c r="N104" s="58" t="s">
        <v>562</v>
      </c>
      <c r="O104" s="15">
        <v>0</v>
      </c>
      <c r="P104" s="9">
        <v>25</v>
      </c>
      <c r="Q104" s="1">
        <v>16</v>
      </c>
      <c r="R104" s="10">
        <v>57</v>
      </c>
      <c r="S104" s="15" t="s">
        <v>200</v>
      </c>
      <c r="T104" s="41"/>
    </row>
    <row r="105" spans="1:20" s="2" customFormat="1">
      <c r="A105" s="10" t="s">
        <v>180</v>
      </c>
      <c r="B105" s="15" t="s">
        <v>378</v>
      </c>
      <c r="C105" s="15">
        <v>1</v>
      </c>
      <c r="D105" s="10" t="s">
        <v>171</v>
      </c>
      <c r="E105" s="10" t="s">
        <v>466</v>
      </c>
      <c r="F105" s="10">
        <v>1.5</v>
      </c>
      <c r="G105" s="15" t="s">
        <v>59</v>
      </c>
      <c r="H105" s="14" t="s">
        <v>390</v>
      </c>
      <c r="I105" s="15">
        <v>1.5</v>
      </c>
      <c r="J105" s="26" t="s">
        <v>21</v>
      </c>
      <c r="K105" s="14" t="s">
        <v>380</v>
      </c>
      <c r="L105" s="15">
        <v>3</v>
      </c>
      <c r="M105" s="17" t="s">
        <v>91</v>
      </c>
      <c r="N105" s="14" t="s">
        <v>562</v>
      </c>
      <c r="O105" s="15">
        <v>0</v>
      </c>
      <c r="P105" s="9">
        <v>25</v>
      </c>
      <c r="Q105" s="1">
        <v>16</v>
      </c>
      <c r="R105" s="10">
        <v>54</v>
      </c>
      <c r="S105" s="15" t="s">
        <v>191</v>
      </c>
      <c r="T105" s="41"/>
    </row>
    <row r="106" spans="1:20" s="2" customFormat="1" ht="15" customHeight="1">
      <c r="A106" s="10" t="s">
        <v>201</v>
      </c>
      <c r="B106" s="15" t="s">
        <v>369</v>
      </c>
      <c r="C106" s="15">
        <v>1.1000000000000001</v>
      </c>
      <c r="D106" s="10" t="s">
        <v>202</v>
      </c>
      <c r="E106" s="10" t="s">
        <v>472</v>
      </c>
      <c r="F106" s="10">
        <v>1</v>
      </c>
      <c r="G106" s="15" t="s">
        <v>28</v>
      </c>
      <c r="H106" s="14" t="s">
        <v>394</v>
      </c>
      <c r="I106" s="15">
        <v>1.1000000000000001</v>
      </c>
      <c r="J106" s="10" t="s">
        <v>121</v>
      </c>
      <c r="K106" s="15" t="s">
        <v>121</v>
      </c>
      <c r="L106" s="15">
        <v>0</v>
      </c>
      <c r="M106" s="15" t="s">
        <v>121</v>
      </c>
      <c r="N106" s="15" t="s">
        <v>121</v>
      </c>
      <c r="O106" s="15">
        <v>0</v>
      </c>
      <c r="P106" s="9">
        <v>25</v>
      </c>
      <c r="Q106" s="1">
        <v>1.5</v>
      </c>
      <c r="R106" s="10">
        <v>77</v>
      </c>
      <c r="S106" s="15"/>
      <c r="T106" s="41"/>
    </row>
    <row r="107" spans="1:20" s="2" customFormat="1" ht="15" customHeight="1">
      <c r="A107" s="10" t="s">
        <v>203</v>
      </c>
      <c r="B107" s="15" t="s">
        <v>445</v>
      </c>
      <c r="C107" s="15">
        <v>1.5</v>
      </c>
      <c r="D107" s="10" t="s">
        <v>204</v>
      </c>
      <c r="E107" s="10" t="s">
        <v>473</v>
      </c>
      <c r="F107" s="10">
        <v>1</v>
      </c>
      <c r="G107" s="15" t="s">
        <v>28</v>
      </c>
      <c r="H107" s="14" t="s">
        <v>394</v>
      </c>
      <c r="I107" s="15">
        <v>1.5</v>
      </c>
      <c r="J107" s="10" t="s">
        <v>121</v>
      </c>
      <c r="K107" s="15" t="s">
        <v>121</v>
      </c>
      <c r="L107" s="15">
        <v>0</v>
      </c>
      <c r="M107" s="15" t="s">
        <v>205</v>
      </c>
      <c r="N107" s="14" t="s">
        <v>423</v>
      </c>
      <c r="O107" s="15">
        <v>0</v>
      </c>
      <c r="P107" s="9">
        <v>60</v>
      </c>
      <c r="Q107" s="1">
        <v>16</v>
      </c>
      <c r="R107" s="10">
        <v>18</v>
      </c>
      <c r="S107" s="15" t="s">
        <v>206</v>
      </c>
      <c r="T107" s="41"/>
    </row>
    <row r="108" spans="1:20" s="2" customFormat="1" ht="15" customHeight="1">
      <c r="A108" s="10" t="s">
        <v>207</v>
      </c>
      <c r="B108" s="15" t="s">
        <v>446</v>
      </c>
      <c r="C108" s="15">
        <v>1</v>
      </c>
      <c r="D108" s="10" t="s">
        <v>208</v>
      </c>
      <c r="E108" s="10" t="s">
        <v>474</v>
      </c>
      <c r="F108" s="10">
        <v>1</v>
      </c>
      <c r="G108" s="15" t="s">
        <v>59</v>
      </c>
      <c r="H108" s="14" t="s">
        <v>390</v>
      </c>
      <c r="I108" s="15">
        <v>1</v>
      </c>
      <c r="J108" s="10" t="s">
        <v>121</v>
      </c>
      <c r="K108" s="15" t="s">
        <v>121</v>
      </c>
      <c r="L108" s="15">
        <v>0</v>
      </c>
      <c r="M108" s="15" t="s">
        <v>427</v>
      </c>
      <c r="N108" s="15" t="s">
        <v>425</v>
      </c>
      <c r="O108" s="15">
        <v>0</v>
      </c>
      <c r="P108" s="9">
        <v>25</v>
      </c>
      <c r="Q108" s="1">
        <v>0.5</v>
      </c>
      <c r="R108" s="10">
        <v>54</v>
      </c>
      <c r="S108" s="15" t="s">
        <v>209</v>
      </c>
      <c r="T108" s="41"/>
    </row>
    <row r="109" spans="1:20" s="2" customFormat="1" ht="15" customHeight="1">
      <c r="A109" s="10" t="s">
        <v>119</v>
      </c>
      <c r="B109" s="15" t="s">
        <v>369</v>
      </c>
      <c r="C109" s="15">
        <v>1.5</v>
      </c>
      <c r="D109" s="10" t="s">
        <v>210</v>
      </c>
      <c r="E109" s="10" t="s">
        <v>475</v>
      </c>
      <c r="F109" s="10">
        <v>1</v>
      </c>
      <c r="G109" s="15" t="s">
        <v>28</v>
      </c>
      <c r="H109" s="14" t="s">
        <v>394</v>
      </c>
      <c r="I109" s="15">
        <v>1.5</v>
      </c>
      <c r="J109" s="10" t="s">
        <v>121</v>
      </c>
      <c r="K109" s="15" t="s">
        <v>121</v>
      </c>
      <c r="L109" s="15">
        <v>0</v>
      </c>
      <c r="M109" s="15" t="s">
        <v>121</v>
      </c>
      <c r="N109" s="15" t="s">
        <v>121</v>
      </c>
      <c r="O109" s="15">
        <v>0</v>
      </c>
      <c r="P109" s="9">
        <v>25</v>
      </c>
      <c r="Q109" s="1">
        <v>8.3000000000000004E-2</v>
      </c>
      <c r="R109" s="10">
        <v>96</v>
      </c>
      <c r="S109" s="15" t="s">
        <v>211</v>
      </c>
      <c r="T109" s="41"/>
    </row>
    <row r="110" spans="1:20" s="2" customFormat="1" ht="15" customHeight="1">
      <c r="A110" s="10" t="s">
        <v>373</v>
      </c>
      <c r="B110" s="15" t="s">
        <v>447</v>
      </c>
      <c r="C110" s="15">
        <v>1.4</v>
      </c>
      <c r="D110" s="10" t="s">
        <v>120</v>
      </c>
      <c r="E110" s="10" t="s">
        <v>457</v>
      </c>
      <c r="F110" s="10">
        <v>1</v>
      </c>
      <c r="G110" s="15" t="s">
        <v>59</v>
      </c>
      <c r="H110" s="14" t="s">
        <v>390</v>
      </c>
      <c r="I110" s="15">
        <v>1.4</v>
      </c>
      <c r="J110" s="10" t="s">
        <v>121</v>
      </c>
      <c r="K110" s="15" t="s">
        <v>121</v>
      </c>
      <c r="L110" s="15">
        <v>0</v>
      </c>
      <c r="M110" s="15" t="s">
        <v>121</v>
      </c>
      <c r="N110" s="15" t="s">
        <v>121</v>
      </c>
      <c r="O110" s="15">
        <v>0</v>
      </c>
      <c r="P110" s="9">
        <v>50</v>
      </c>
      <c r="Q110" s="1">
        <v>0.5</v>
      </c>
      <c r="R110" s="10">
        <v>81</v>
      </c>
      <c r="S110" s="15"/>
      <c r="T110" s="41"/>
    </row>
    <row r="111" spans="1:20" s="2" customFormat="1" ht="15" customHeight="1">
      <c r="A111" s="10" t="s">
        <v>119</v>
      </c>
      <c r="B111" s="15" t="s">
        <v>369</v>
      </c>
      <c r="C111" s="15">
        <v>1</v>
      </c>
      <c r="D111" s="10" t="s">
        <v>212</v>
      </c>
      <c r="E111" s="10" t="s">
        <v>476</v>
      </c>
      <c r="F111" s="10">
        <v>1</v>
      </c>
      <c r="G111" s="15" t="s">
        <v>59</v>
      </c>
      <c r="H111" s="14" t="s">
        <v>390</v>
      </c>
      <c r="I111" s="15">
        <v>1</v>
      </c>
      <c r="J111" s="10" t="s">
        <v>121</v>
      </c>
      <c r="K111" s="15" t="s">
        <v>121</v>
      </c>
      <c r="L111" s="15">
        <v>0</v>
      </c>
      <c r="M111" s="15" t="s">
        <v>121</v>
      </c>
      <c r="N111" s="15" t="s">
        <v>121</v>
      </c>
      <c r="O111" s="15">
        <v>0</v>
      </c>
      <c r="P111" s="9">
        <v>25</v>
      </c>
      <c r="Q111" s="1">
        <v>0.16700000000000001</v>
      </c>
      <c r="R111" s="10">
        <v>97</v>
      </c>
      <c r="S111" s="15"/>
      <c r="T111" s="41"/>
    </row>
    <row r="112" spans="1:20" s="2" customFormat="1" ht="15" customHeight="1">
      <c r="A112" s="10" t="s">
        <v>374</v>
      </c>
      <c r="B112" s="15" t="s">
        <v>448</v>
      </c>
      <c r="C112" s="15">
        <v>1.1000000000000001</v>
      </c>
      <c r="D112" s="10" t="s">
        <v>171</v>
      </c>
      <c r="E112" s="10" t="s">
        <v>466</v>
      </c>
      <c r="F112" s="10">
        <v>1</v>
      </c>
      <c r="G112" s="15" t="s">
        <v>59</v>
      </c>
      <c r="H112" s="14" t="s">
        <v>390</v>
      </c>
      <c r="I112" s="15">
        <v>1.1000000000000001</v>
      </c>
      <c r="J112" s="10" t="s">
        <v>121</v>
      </c>
      <c r="K112" s="15" t="s">
        <v>121</v>
      </c>
      <c r="L112" s="15">
        <v>0</v>
      </c>
      <c r="M112" s="15" t="s">
        <v>16</v>
      </c>
      <c r="N112" s="58" t="s">
        <v>562</v>
      </c>
      <c r="O112" s="15">
        <v>0</v>
      </c>
      <c r="P112" s="9">
        <v>25</v>
      </c>
      <c r="Q112" s="1">
        <v>12</v>
      </c>
      <c r="R112" s="10">
        <v>90</v>
      </c>
      <c r="S112" s="15" t="s">
        <v>213</v>
      </c>
      <c r="T112" s="41"/>
    </row>
    <row r="113" spans="1:20" s="76" customFormat="1" ht="15" customHeight="1">
      <c r="A113" s="63" t="s">
        <v>214</v>
      </c>
      <c r="B113" s="62" t="s">
        <v>449</v>
      </c>
      <c r="C113" s="62">
        <v>1.5</v>
      </c>
      <c r="D113" s="63" t="s">
        <v>171</v>
      </c>
      <c r="E113" s="63" t="s">
        <v>466</v>
      </c>
      <c r="F113" s="63">
        <v>1</v>
      </c>
      <c r="G113" s="62" t="s">
        <v>121</v>
      </c>
      <c r="H113" s="62" t="s">
        <v>121</v>
      </c>
      <c r="I113" s="62">
        <v>0</v>
      </c>
      <c r="J113" s="63" t="s">
        <v>121</v>
      </c>
      <c r="K113" s="62" t="s">
        <v>121</v>
      </c>
      <c r="L113" s="62">
        <v>0</v>
      </c>
      <c r="M113" s="74" t="s">
        <v>215</v>
      </c>
      <c r="N113" s="62" t="s">
        <v>574</v>
      </c>
      <c r="O113" s="62">
        <v>0</v>
      </c>
      <c r="P113" s="66">
        <v>80</v>
      </c>
      <c r="Q113" s="67">
        <v>18</v>
      </c>
      <c r="R113" s="63">
        <v>91</v>
      </c>
      <c r="S113" s="62" t="s">
        <v>216</v>
      </c>
      <c r="T113" s="75"/>
    </row>
    <row r="114" spans="1:20" s="2" customFormat="1">
      <c r="A114" s="10" t="s">
        <v>119</v>
      </c>
      <c r="B114" s="15" t="s">
        <v>369</v>
      </c>
      <c r="C114" s="15">
        <v>1</v>
      </c>
      <c r="D114" s="26" t="s">
        <v>307</v>
      </c>
      <c r="E114" s="10" t="s">
        <v>492</v>
      </c>
      <c r="F114" s="10">
        <v>1.5</v>
      </c>
      <c r="G114" s="15" t="s">
        <v>218</v>
      </c>
      <c r="H114" s="15" t="s">
        <v>415</v>
      </c>
      <c r="I114" s="15">
        <v>0.1</v>
      </c>
      <c r="J114" s="10" t="s">
        <v>121</v>
      </c>
      <c r="K114" s="15" t="s">
        <v>121</v>
      </c>
      <c r="L114" s="15">
        <v>0</v>
      </c>
      <c r="M114" s="17" t="s">
        <v>22</v>
      </c>
      <c r="N114" s="58" t="s">
        <v>563</v>
      </c>
      <c r="O114" s="15">
        <v>0.5</v>
      </c>
      <c r="P114" s="9">
        <v>110</v>
      </c>
      <c r="Q114" s="1">
        <v>24</v>
      </c>
      <c r="R114" s="10">
        <v>48</v>
      </c>
      <c r="S114" s="15" t="s">
        <v>219</v>
      </c>
      <c r="T114" s="41"/>
    </row>
    <row r="115" spans="1:20" s="2" customFormat="1">
      <c r="A115" s="10" t="s">
        <v>220</v>
      </c>
      <c r="B115" s="15" t="s">
        <v>450</v>
      </c>
      <c r="C115" s="15">
        <v>1</v>
      </c>
      <c r="D115" s="10" t="s">
        <v>221</v>
      </c>
      <c r="E115" s="10" t="s">
        <v>382</v>
      </c>
      <c r="F115" s="10">
        <v>1.5</v>
      </c>
      <c r="G115" s="15" t="s">
        <v>218</v>
      </c>
      <c r="H115" s="15" t="s">
        <v>415</v>
      </c>
      <c r="I115" s="15">
        <v>0.1</v>
      </c>
      <c r="J115" s="10" t="s">
        <v>121</v>
      </c>
      <c r="K115" s="15" t="s">
        <v>121</v>
      </c>
      <c r="L115" s="15">
        <v>0</v>
      </c>
      <c r="M115" s="17" t="s">
        <v>22</v>
      </c>
      <c r="N115" s="58" t="s">
        <v>563</v>
      </c>
      <c r="O115" s="15">
        <v>0.5</v>
      </c>
      <c r="P115" s="9">
        <v>110</v>
      </c>
      <c r="Q115" s="1">
        <v>24</v>
      </c>
      <c r="R115" s="10">
        <v>72</v>
      </c>
      <c r="S115" s="15" t="s">
        <v>219</v>
      </c>
      <c r="T115" s="41"/>
    </row>
    <row r="116" spans="1:20" s="2" customFormat="1">
      <c r="A116" s="10" t="s">
        <v>222</v>
      </c>
      <c r="B116" s="15" t="s">
        <v>451</v>
      </c>
      <c r="C116" s="15">
        <v>1</v>
      </c>
      <c r="D116" s="10" t="s">
        <v>120</v>
      </c>
      <c r="E116" s="10" t="s">
        <v>457</v>
      </c>
      <c r="F116" s="10">
        <v>1.5</v>
      </c>
      <c r="G116" s="15" t="s">
        <v>218</v>
      </c>
      <c r="H116" s="15" t="s">
        <v>415</v>
      </c>
      <c r="I116" s="15">
        <v>0.1</v>
      </c>
      <c r="J116" s="10" t="s">
        <v>121</v>
      </c>
      <c r="K116" s="15" t="s">
        <v>121</v>
      </c>
      <c r="L116" s="15">
        <v>0</v>
      </c>
      <c r="M116" s="17" t="s">
        <v>22</v>
      </c>
      <c r="N116" s="58" t="s">
        <v>563</v>
      </c>
      <c r="O116" s="15">
        <v>0.5</v>
      </c>
      <c r="P116" s="9">
        <v>110</v>
      </c>
      <c r="Q116" s="1">
        <v>24</v>
      </c>
      <c r="R116" s="10">
        <v>66</v>
      </c>
      <c r="S116" s="15" t="s">
        <v>219</v>
      </c>
      <c r="T116" s="41"/>
    </row>
    <row r="117" spans="1:20" s="2" customFormat="1">
      <c r="A117" s="10" t="s">
        <v>223</v>
      </c>
      <c r="B117" s="15" t="s">
        <v>452</v>
      </c>
      <c r="C117" s="15">
        <v>1</v>
      </c>
      <c r="D117" s="10" t="s">
        <v>120</v>
      </c>
      <c r="E117" s="10" t="s">
        <v>457</v>
      </c>
      <c r="F117" s="10">
        <v>1.5</v>
      </c>
      <c r="G117" s="15" t="s">
        <v>218</v>
      </c>
      <c r="H117" s="15" t="s">
        <v>415</v>
      </c>
      <c r="I117" s="15">
        <v>0.1</v>
      </c>
      <c r="J117" s="10" t="s">
        <v>121</v>
      </c>
      <c r="K117" s="15" t="s">
        <v>121</v>
      </c>
      <c r="L117" s="15">
        <v>0</v>
      </c>
      <c r="M117" s="17" t="s">
        <v>22</v>
      </c>
      <c r="N117" s="58" t="s">
        <v>563</v>
      </c>
      <c r="O117" s="15">
        <v>0.5</v>
      </c>
      <c r="P117" s="9">
        <v>110</v>
      </c>
      <c r="Q117" s="1">
        <v>24</v>
      </c>
      <c r="R117" s="10">
        <v>88</v>
      </c>
      <c r="S117" s="15" t="s">
        <v>219</v>
      </c>
      <c r="T117" s="41"/>
    </row>
    <row r="118" spans="1:20" s="2" customFormat="1" ht="15" customHeight="1">
      <c r="A118" s="10" t="s">
        <v>119</v>
      </c>
      <c r="B118" s="15" t="s">
        <v>369</v>
      </c>
      <c r="C118" s="15">
        <v>1</v>
      </c>
      <c r="D118" s="10" t="s">
        <v>224</v>
      </c>
      <c r="E118" s="10" t="s">
        <v>493</v>
      </c>
      <c r="F118" s="10">
        <v>1.5</v>
      </c>
      <c r="G118" s="15" t="s">
        <v>218</v>
      </c>
      <c r="H118" s="15" t="s">
        <v>415</v>
      </c>
      <c r="I118" s="15">
        <v>0.1</v>
      </c>
      <c r="J118" s="10" t="s">
        <v>121</v>
      </c>
      <c r="K118" s="15" t="s">
        <v>121</v>
      </c>
      <c r="L118" s="15">
        <v>0</v>
      </c>
      <c r="M118" s="17" t="s">
        <v>22</v>
      </c>
      <c r="N118" s="58" t="s">
        <v>563</v>
      </c>
      <c r="O118" s="15">
        <v>0.5</v>
      </c>
      <c r="P118" s="9">
        <v>110</v>
      </c>
      <c r="Q118" s="1">
        <v>24</v>
      </c>
      <c r="R118" s="10">
        <v>56</v>
      </c>
      <c r="S118" s="15" t="s">
        <v>219</v>
      </c>
      <c r="T118" s="41"/>
    </row>
    <row r="119" spans="1:20" s="2" customFormat="1" ht="15" customHeight="1">
      <c r="A119" s="10" t="s">
        <v>119</v>
      </c>
      <c r="B119" s="15" t="s">
        <v>369</v>
      </c>
      <c r="C119" s="15">
        <v>1</v>
      </c>
      <c r="D119" s="10" t="s">
        <v>225</v>
      </c>
      <c r="E119" s="10" t="s">
        <v>477</v>
      </c>
      <c r="F119" s="10">
        <v>1</v>
      </c>
      <c r="G119" s="15" t="s">
        <v>121</v>
      </c>
      <c r="H119" s="15" t="s">
        <v>121</v>
      </c>
      <c r="I119" s="15">
        <v>0</v>
      </c>
      <c r="J119" s="10" t="s">
        <v>162</v>
      </c>
      <c r="K119" s="15" t="s">
        <v>384</v>
      </c>
      <c r="L119" s="15">
        <v>3</v>
      </c>
      <c r="M119" s="15" t="s">
        <v>153</v>
      </c>
      <c r="N119" s="15" t="s">
        <v>430</v>
      </c>
      <c r="O119" s="15">
        <v>0.25</v>
      </c>
      <c r="P119" s="9">
        <v>130</v>
      </c>
      <c r="Q119" s="1">
        <v>20</v>
      </c>
      <c r="R119" s="10">
        <v>85</v>
      </c>
      <c r="S119" s="15" t="s">
        <v>226</v>
      </c>
      <c r="T119" s="41"/>
    </row>
    <row r="120" spans="1:20" s="2" customFormat="1">
      <c r="A120" s="10" t="s">
        <v>227</v>
      </c>
      <c r="B120" s="15" t="s">
        <v>453</v>
      </c>
      <c r="C120" s="15">
        <v>1</v>
      </c>
      <c r="D120" s="10" t="s">
        <v>225</v>
      </c>
      <c r="E120" s="10" t="s">
        <v>477</v>
      </c>
      <c r="F120" s="10">
        <v>1</v>
      </c>
      <c r="G120" s="15" t="s">
        <v>121</v>
      </c>
      <c r="H120" s="15" t="s">
        <v>121</v>
      </c>
      <c r="I120" s="15">
        <v>0</v>
      </c>
      <c r="J120" s="10" t="s">
        <v>162</v>
      </c>
      <c r="K120" s="15" t="s">
        <v>384</v>
      </c>
      <c r="L120" s="15">
        <v>3</v>
      </c>
      <c r="M120" s="15" t="s">
        <v>153</v>
      </c>
      <c r="N120" s="15" t="s">
        <v>430</v>
      </c>
      <c r="O120" s="15">
        <v>0.25</v>
      </c>
      <c r="P120" s="9">
        <v>130</v>
      </c>
      <c r="Q120" s="1">
        <v>20</v>
      </c>
      <c r="R120" s="10">
        <v>89</v>
      </c>
      <c r="S120" s="15" t="s">
        <v>226</v>
      </c>
      <c r="T120" s="41"/>
    </row>
    <row r="121" spans="1:20" s="2" customFormat="1">
      <c r="A121" s="10" t="s">
        <v>228</v>
      </c>
      <c r="B121" s="15" t="s">
        <v>454</v>
      </c>
      <c r="C121" s="15">
        <v>1</v>
      </c>
      <c r="D121" s="10" t="s">
        <v>225</v>
      </c>
      <c r="E121" s="10" t="s">
        <v>477</v>
      </c>
      <c r="F121" s="10">
        <v>1</v>
      </c>
      <c r="G121" s="15" t="s">
        <v>121</v>
      </c>
      <c r="H121" s="15" t="s">
        <v>121</v>
      </c>
      <c r="I121" s="15">
        <v>0</v>
      </c>
      <c r="J121" s="10" t="s">
        <v>162</v>
      </c>
      <c r="K121" s="15" t="s">
        <v>384</v>
      </c>
      <c r="L121" s="15">
        <v>3</v>
      </c>
      <c r="M121" s="15" t="s">
        <v>153</v>
      </c>
      <c r="N121" s="15" t="s">
        <v>430</v>
      </c>
      <c r="O121" s="15">
        <v>0.25</v>
      </c>
      <c r="P121" s="9">
        <v>130</v>
      </c>
      <c r="Q121" s="1">
        <v>20</v>
      </c>
      <c r="R121" s="10">
        <v>40</v>
      </c>
      <c r="S121" s="15" t="s">
        <v>226</v>
      </c>
      <c r="T121" s="41"/>
    </row>
    <row r="122" spans="1:20" s="2" customFormat="1">
      <c r="A122" s="10" t="s">
        <v>229</v>
      </c>
      <c r="B122" s="15" t="s">
        <v>486</v>
      </c>
      <c r="C122" s="15">
        <v>1</v>
      </c>
      <c r="D122" s="10" t="s">
        <v>225</v>
      </c>
      <c r="E122" s="10" t="s">
        <v>477</v>
      </c>
      <c r="F122" s="10">
        <v>1</v>
      </c>
      <c r="G122" s="15" t="s">
        <v>121</v>
      </c>
      <c r="H122" s="15" t="s">
        <v>121</v>
      </c>
      <c r="I122" s="15">
        <v>0</v>
      </c>
      <c r="J122" s="10" t="s">
        <v>162</v>
      </c>
      <c r="K122" s="15" t="s">
        <v>384</v>
      </c>
      <c r="L122" s="15">
        <v>3</v>
      </c>
      <c r="M122" s="15" t="s">
        <v>153</v>
      </c>
      <c r="N122" s="15" t="s">
        <v>430</v>
      </c>
      <c r="O122" s="15">
        <v>0.25</v>
      </c>
      <c r="P122" s="9">
        <v>130</v>
      </c>
      <c r="Q122" s="1">
        <v>20</v>
      </c>
      <c r="R122" s="10">
        <v>61</v>
      </c>
      <c r="S122" s="15" t="s">
        <v>226</v>
      </c>
      <c r="T122" s="41"/>
    </row>
    <row r="123" spans="1:20" s="2" customFormat="1" ht="15" customHeight="1">
      <c r="A123" s="10" t="s">
        <v>230</v>
      </c>
      <c r="B123" s="15" t="s">
        <v>487</v>
      </c>
      <c r="C123" s="15">
        <v>1</v>
      </c>
      <c r="D123" s="10" t="s">
        <v>225</v>
      </c>
      <c r="E123" s="10" t="s">
        <v>477</v>
      </c>
      <c r="F123" s="10">
        <v>1</v>
      </c>
      <c r="G123" s="15" t="s">
        <v>121</v>
      </c>
      <c r="H123" s="15" t="s">
        <v>121</v>
      </c>
      <c r="I123" s="15">
        <v>0</v>
      </c>
      <c r="J123" s="10" t="s">
        <v>162</v>
      </c>
      <c r="K123" s="15" t="s">
        <v>384</v>
      </c>
      <c r="L123" s="15">
        <v>3</v>
      </c>
      <c r="M123" s="15" t="s">
        <v>153</v>
      </c>
      <c r="N123" s="15" t="s">
        <v>430</v>
      </c>
      <c r="O123" s="15">
        <v>0.25</v>
      </c>
      <c r="P123" s="9">
        <v>130</v>
      </c>
      <c r="Q123" s="1">
        <v>20</v>
      </c>
      <c r="R123" s="10">
        <v>28</v>
      </c>
      <c r="S123" s="15" t="s">
        <v>226</v>
      </c>
      <c r="T123" s="41"/>
    </row>
    <row r="124" spans="1:20" s="2" customFormat="1">
      <c r="A124" s="10" t="s">
        <v>231</v>
      </c>
      <c r="B124" s="15" t="s">
        <v>488</v>
      </c>
      <c r="C124" s="15">
        <v>1</v>
      </c>
      <c r="D124" s="10" t="s">
        <v>120</v>
      </c>
      <c r="E124" s="55" t="s">
        <v>457</v>
      </c>
      <c r="F124" s="10">
        <v>0.5</v>
      </c>
      <c r="G124" s="15" t="s">
        <v>232</v>
      </c>
      <c r="H124" s="15" t="s">
        <v>416</v>
      </c>
      <c r="I124" s="15">
        <v>0.01</v>
      </c>
      <c r="J124" s="10" t="s">
        <v>121</v>
      </c>
      <c r="K124" s="15" t="s">
        <v>121</v>
      </c>
      <c r="L124" s="15">
        <v>0</v>
      </c>
      <c r="M124" s="15" t="s">
        <v>233</v>
      </c>
      <c r="N124" s="15" t="s">
        <v>431</v>
      </c>
      <c r="O124" s="15">
        <v>0.6</v>
      </c>
      <c r="P124" s="9">
        <v>140</v>
      </c>
      <c r="Q124" s="1">
        <v>12</v>
      </c>
      <c r="R124" s="10">
        <v>86</v>
      </c>
      <c r="S124" s="15" t="s">
        <v>234</v>
      </c>
      <c r="T124" s="41"/>
    </row>
    <row r="125" spans="1:20">
      <c r="A125" s="10" t="s">
        <v>235</v>
      </c>
      <c r="B125" s="33" t="s">
        <v>489</v>
      </c>
      <c r="C125" s="15">
        <v>1</v>
      </c>
      <c r="D125" s="10" t="s">
        <v>120</v>
      </c>
      <c r="E125" s="55" t="s">
        <v>457</v>
      </c>
      <c r="F125" s="10">
        <v>0.5</v>
      </c>
      <c r="G125" s="15" t="s">
        <v>232</v>
      </c>
      <c r="H125" s="15" t="s">
        <v>416</v>
      </c>
      <c r="I125" s="15">
        <v>0.1</v>
      </c>
      <c r="J125" s="10" t="s">
        <v>121</v>
      </c>
      <c r="K125" s="15" t="s">
        <v>121</v>
      </c>
      <c r="L125" s="15">
        <v>0</v>
      </c>
      <c r="M125" s="15" t="s">
        <v>233</v>
      </c>
      <c r="N125" s="15" t="s">
        <v>431</v>
      </c>
      <c r="O125" s="15">
        <v>0.6</v>
      </c>
      <c r="P125" s="9">
        <v>140</v>
      </c>
      <c r="Q125" s="1">
        <v>12</v>
      </c>
      <c r="R125" s="10">
        <v>89</v>
      </c>
      <c r="S125" s="15" t="s">
        <v>234</v>
      </c>
    </row>
    <row r="126" spans="1:20">
      <c r="A126" s="10" t="s">
        <v>236</v>
      </c>
      <c r="B126" s="33" t="s">
        <v>371</v>
      </c>
      <c r="C126" s="15">
        <v>1</v>
      </c>
      <c r="D126" s="10" t="s">
        <v>120</v>
      </c>
      <c r="E126" s="55" t="s">
        <v>457</v>
      </c>
      <c r="F126" s="10">
        <v>0.5</v>
      </c>
      <c r="G126" s="15" t="s">
        <v>232</v>
      </c>
      <c r="H126" s="15" t="s">
        <v>416</v>
      </c>
      <c r="I126" s="15">
        <v>0.01</v>
      </c>
      <c r="J126" s="10" t="s">
        <v>121</v>
      </c>
      <c r="K126" s="15" t="s">
        <v>121</v>
      </c>
      <c r="L126" s="15">
        <v>0</v>
      </c>
      <c r="M126" s="15" t="s">
        <v>233</v>
      </c>
      <c r="N126" s="15" t="s">
        <v>431</v>
      </c>
      <c r="O126" s="15">
        <v>0.6</v>
      </c>
      <c r="P126" s="9">
        <v>140</v>
      </c>
      <c r="Q126" s="1">
        <v>12</v>
      </c>
      <c r="R126" s="10">
        <v>99</v>
      </c>
      <c r="S126" s="15" t="s">
        <v>234</v>
      </c>
    </row>
    <row r="127" spans="1:20">
      <c r="A127" s="10" t="s">
        <v>237</v>
      </c>
      <c r="B127" s="33" t="s">
        <v>490</v>
      </c>
      <c r="C127" s="15">
        <v>1</v>
      </c>
      <c r="D127" s="10" t="s">
        <v>120</v>
      </c>
      <c r="E127" s="55" t="s">
        <v>457</v>
      </c>
      <c r="F127" s="10">
        <v>0.5</v>
      </c>
      <c r="G127" s="15" t="s">
        <v>232</v>
      </c>
      <c r="H127" s="15" t="s">
        <v>416</v>
      </c>
      <c r="I127" s="15">
        <v>0.01</v>
      </c>
      <c r="J127" s="10" t="s">
        <v>121</v>
      </c>
      <c r="K127" s="15" t="s">
        <v>121</v>
      </c>
      <c r="L127" s="15">
        <v>0</v>
      </c>
      <c r="M127" s="15" t="s">
        <v>233</v>
      </c>
      <c r="N127" s="15" t="s">
        <v>431</v>
      </c>
      <c r="O127" s="15">
        <v>0.6</v>
      </c>
      <c r="P127" s="9">
        <v>140</v>
      </c>
      <c r="Q127" s="1">
        <v>12</v>
      </c>
      <c r="R127" s="10">
        <v>95</v>
      </c>
      <c r="S127" s="15" t="s">
        <v>234</v>
      </c>
    </row>
    <row r="128" spans="1:20">
      <c r="A128" s="10" t="s">
        <v>238</v>
      </c>
      <c r="B128" s="33" t="s">
        <v>491</v>
      </c>
      <c r="C128" s="15">
        <v>1</v>
      </c>
      <c r="D128" s="10" t="s">
        <v>120</v>
      </c>
      <c r="E128" s="55" t="s">
        <v>457</v>
      </c>
      <c r="F128" s="10">
        <v>0.5</v>
      </c>
      <c r="G128" s="15" t="s">
        <v>232</v>
      </c>
      <c r="H128" s="15" t="s">
        <v>416</v>
      </c>
      <c r="I128" s="15">
        <v>0.1</v>
      </c>
      <c r="J128" s="10" t="s">
        <v>121</v>
      </c>
      <c r="K128" s="15" t="s">
        <v>121</v>
      </c>
      <c r="L128" s="15">
        <v>0</v>
      </c>
      <c r="M128" s="15" t="s">
        <v>233</v>
      </c>
      <c r="N128" s="15" t="s">
        <v>431</v>
      </c>
      <c r="O128" s="15">
        <v>0.6</v>
      </c>
      <c r="P128" s="9">
        <v>140</v>
      </c>
      <c r="Q128" s="1">
        <v>12</v>
      </c>
      <c r="R128" s="10">
        <v>80</v>
      </c>
      <c r="S128" s="15" t="s">
        <v>234</v>
      </c>
    </row>
    <row r="129" spans="1:19">
      <c r="A129" s="10" t="s">
        <v>119</v>
      </c>
      <c r="B129" s="15" t="s">
        <v>369</v>
      </c>
      <c r="C129" s="15">
        <v>1</v>
      </c>
      <c r="D129" s="10" t="s">
        <v>239</v>
      </c>
      <c r="E129" s="10" t="s">
        <v>494</v>
      </c>
      <c r="F129" s="10">
        <v>1</v>
      </c>
      <c r="G129" s="15" t="s">
        <v>15</v>
      </c>
      <c r="H129" s="15" t="s">
        <v>392</v>
      </c>
      <c r="I129" s="15">
        <v>1.28</v>
      </c>
      <c r="J129" s="10" t="s">
        <v>162</v>
      </c>
      <c r="K129" s="15" t="s">
        <v>384</v>
      </c>
      <c r="L129" s="15">
        <v>2</v>
      </c>
      <c r="M129" s="15" t="s">
        <v>240</v>
      </c>
      <c r="N129" s="14" t="s">
        <v>437</v>
      </c>
      <c r="O129" s="15">
        <v>0.5</v>
      </c>
      <c r="P129" s="9">
        <v>60</v>
      </c>
      <c r="Q129" s="1">
        <v>0.17</v>
      </c>
      <c r="R129" s="10">
        <v>93</v>
      </c>
      <c r="S129" s="15" t="s">
        <v>241</v>
      </c>
    </row>
    <row r="130" spans="1:19">
      <c r="A130" s="10" t="s">
        <v>242</v>
      </c>
      <c r="B130" s="33" t="s">
        <v>518</v>
      </c>
      <c r="C130" s="15">
        <v>1</v>
      </c>
      <c r="D130" s="10" t="s">
        <v>243</v>
      </c>
      <c r="E130" s="10" t="s">
        <v>495</v>
      </c>
      <c r="F130" s="10">
        <v>1</v>
      </c>
      <c r="G130" s="15" t="s">
        <v>15</v>
      </c>
      <c r="H130" s="15" t="s">
        <v>392</v>
      </c>
      <c r="I130" s="15">
        <v>1.28</v>
      </c>
      <c r="J130" s="10" t="s">
        <v>162</v>
      </c>
      <c r="K130" s="15" t="s">
        <v>384</v>
      </c>
      <c r="L130" s="15">
        <v>2</v>
      </c>
      <c r="M130" s="15" t="s">
        <v>240</v>
      </c>
      <c r="N130" s="14" t="s">
        <v>437</v>
      </c>
      <c r="O130" s="15">
        <v>0.5</v>
      </c>
      <c r="P130" s="9">
        <v>60</v>
      </c>
      <c r="Q130" s="1">
        <v>0.17</v>
      </c>
      <c r="R130" s="10">
        <v>89</v>
      </c>
      <c r="S130" s="15" t="s">
        <v>241</v>
      </c>
    </row>
    <row r="131" spans="1:19" ht="18">
      <c r="A131" s="10" t="s">
        <v>244</v>
      </c>
      <c r="B131" s="33" t="s">
        <v>520</v>
      </c>
      <c r="C131" s="15">
        <v>1</v>
      </c>
      <c r="D131" s="10" t="s">
        <v>245</v>
      </c>
      <c r="E131" s="10" t="s">
        <v>496</v>
      </c>
      <c r="F131" s="10">
        <v>1</v>
      </c>
      <c r="G131" s="15" t="s">
        <v>15</v>
      </c>
      <c r="H131" s="15" t="s">
        <v>392</v>
      </c>
      <c r="I131" s="15">
        <v>1.28</v>
      </c>
      <c r="J131" s="10" t="s">
        <v>162</v>
      </c>
      <c r="K131" s="15" t="s">
        <v>384</v>
      </c>
      <c r="L131" s="15">
        <v>2</v>
      </c>
      <c r="M131" s="15" t="s">
        <v>240</v>
      </c>
      <c r="N131" s="14" t="s">
        <v>437</v>
      </c>
      <c r="O131" s="15">
        <v>0.5</v>
      </c>
      <c r="P131" s="9">
        <v>60</v>
      </c>
      <c r="Q131" s="1">
        <v>0.5</v>
      </c>
      <c r="R131" s="10">
        <v>85</v>
      </c>
      <c r="S131" s="15" t="s">
        <v>241</v>
      </c>
    </row>
    <row r="132" spans="1:19">
      <c r="A132" s="10" t="s">
        <v>246</v>
      </c>
      <c r="B132" s="33" t="s">
        <v>519</v>
      </c>
      <c r="C132" s="15">
        <v>1</v>
      </c>
      <c r="D132" s="10" t="s">
        <v>247</v>
      </c>
      <c r="E132" s="10" t="s">
        <v>466</v>
      </c>
      <c r="F132" s="10">
        <v>1</v>
      </c>
      <c r="G132" s="15" t="s">
        <v>15</v>
      </c>
      <c r="H132" s="15" t="s">
        <v>392</v>
      </c>
      <c r="I132" s="15">
        <v>1.28</v>
      </c>
      <c r="J132" s="10" t="s">
        <v>162</v>
      </c>
      <c r="K132" s="15" t="s">
        <v>384</v>
      </c>
      <c r="L132" s="15">
        <v>2</v>
      </c>
      <c r="M132" s="15" t="s">
        <v>240</v>
      </c>
      <c r="N132" s="14" t="s">
        <v>437</v>
      </c>
      <c r="O132" s="15">
        <v>0.5</v>
      </c>
      <c r="P132" s="9">
        <v>60</v>
      </c>
      <c r="Q132" s="1">
        <v>0.66</v>
      </c>
      <c r="R132" s="10">
        <v>92</v>
      </c>
      <c r="S132" s="15" t="s">
        <v>241</v>
      </c>
    </row>
    <row r="133" spans="1:19">
      <c r="A133" s="10" t="s">
        <v>248</v>
      </c>
      <c r="B133" s="33" t="s">
        <v>521</v>
      </c>
      <c r="C133" s="15">
        <v>1</v>
      </c>
      <c r="D133" s="10" t="s">
        <v>249</v>
      </c>
      <c r="E133" s="10" t="s">
        <v>497</v>
      </c>
      <c r="F133" s="10">
        <v>1</v>
      </c>
      <c r="G133" s="15" t="s">
        <v>15</v>
      </c>
      <c r="H133" s="15" t="s">
        <v>392</v>
      </c>
      <c r="I133" s="15">
        <v>1.28</v>
      </c>
      <c r="J133" s="10" t="s">
        <v>162</v>
      </c>
      <c r="K133" s="15" t="s">
        <v>384</v>
      </c>
      <c r="L133" s="15">
        <v>2</v>
      </c>
      <c r="M133" s="15" t="s">
        <v>240</v>
      </c>
      <c r="N133" s="14" t="s">
        <v>437</v>
      </c>
      <c r="O133" s="15">
        <v>0.5</v>
      </c>
      <c r="P133" s="9">
        <v>60</v>
      </c>
      <c r="Q133" s="1">
        <v>0.5</v>
      </c>
      <c r="R133" s="10">
        <v>84</v>
      </c>
      <c r="S133" s="15" t="s">
        <v>241</v>
      </c>
    </row>
    <row r="134" spans="1:19">
      <c r="A134" s="10" t="s">
        <v>250</v>
      </c>
      <c r="B134" s="33" t="s">
        <v>522</v>
      </c>
      <c r="C134" s="15">
        <v>1</v>
      </c>
      <c r="D134" s="10" t="s">
        <v>251</v>
      </c>
      <c r="E134" s="10" t="s">
        <v>498</v>
      </c>
      <c r="F134" s="10">
        <v>1</v>
      </c>
      <c r="G134" s="15" t="s">
        <v>252</v>
      </c>
      <c r="H134" s="15" t="s">
        <v>417</v>
      </c>
      <c r="I134" s="15">
        <v>1</v>
      </c>
      <c r="J134" s="10" t="s">
        <v>121</v>
      </c>
      <c r="K134" s="15" t="s">
        <v>121</v>
      </c>
      <c r="L134" s="15">
        <v>0</v>
      </c>
      <c r="M134" s="17" t="s">
        <v>48</v>
      </c>
      <c r="N134" s="15" t="s">
        <v>425</v>
      </c>
      <c r="O134" s="15">
        <v>1</v>
      </c>
      <c r="P134" s="9">
        <v>80</v>
      </c>
      <c r="Q134" s="1">
        <v>8</v>
      </c>
      <c r="R134" s="10">
        <v>50</v>
      </c>
      <c r="S134" s="15" t="s">
        <v>253</v>
      </c>
    </row>
    <row r="135" spans="1:19">
      <c r="A135" s="10" t="s">
        <v>254</v>
      </c>
      <c r="B135" s="33" t="s">
        <v>523</v>
      </c>
      <c r="C135" s="15">
        <v>1</v>
      </c>
      <c r="D135" s="10" t="s">
        <v>255</v>
      </c>
      <c r="E135" s="10" t="s">
        <v>476</v>
      </c>
      <c r="F135" s="10">
        <v>1</v>
      </c>
      <c r="G135" s="15" t="s">
        <v>252</v>
      </c>
      <c r="H135" s="15" t="s">
        <v>417</v>
      </c>
      <c r="I135" s="15">
        <v>1</v>
      </c>
      <c r="J135" s="10" t="s">
        <v>121</v>
      </c>
      <c r="K135" s="15" t="s">
        <v>121</v>
      </c>
      <c r="L135" s="15">
        <v>0</v>
      </c>
      <c r="M135" s="17" t="s">
        <v>48</v>
      </c>
      <c r="N135" s="15" t="s">
        <v>425</v>
      </c>
      <c r="O135" s="15">
        <v>1</v>
      </c>
      <c r="P135" s="9">
        <v>80</v>
      </c>
      <c r="Q135" s="1">
        <v>6</v>
      </c>
      <c r="R135" s="10">
        <v>87</v>
      </c>
      <c r="S135" s="15" t="s">
        <v>253</v>
      </c>
    </row>
    <row r="136" spans="1:19">
      <c r="A136" s="10" t="s">
        <v>256</v>
      </c>
      <c r="B136" s="33" t="s">
        <v>524</v>
      </c>
      <c r="C136" s="15">
        <v>1</v>
      </c>
      <c r="D136" s="10" t="s">
        <v>257</v>
      </c>
      <c r="E136" s="10" t="s">
        <v>499</v>
      </c>
      <c r="F136" s="10">
        <v>1</v>
      </c>
      <c r="G136" s="15" t="s">
        <v>252</v>
      </c>
      <c r="H136" s="15" t="s">
        <v>417</v>
      </c>
      <c r="I136" s="15">
        <v>1</v>
      </c>
      <c r="J136" s="10" t="s">
        <v>121</v>
      </c>
      <c r="K136" s="15" t="s">
        <v>121</v>
      </c>
      <c r="L136" s="15">
        <v>0</v>
      </c>
      <c r="M136" s="17" t="s">
        <v>48</v>
      </c>
      <c r="N136" s="15" t="s">
        <v>425</v>
      </c>
      <c r="O136" s="15">
        <v>1</v>
      </c>
      <c r="P136" s="9">
        <v>80</v>
      </c>
      <c r="Q136" s="1">
        <v>7</v>
      </c>
      <c r="R136" s="10">
        <v>62</v>
      </c>
      <c r="S136" s="15" t="s">
        <v>253</v>
      </c>
    </row>
    <row r="137" spans="1:19">
      <c r="A137" s="10" t="s">
        <v>258</v>
      </c>
      <c r="B137" s="33" t="s">
        <v>525</v>
      </c>
      <c r="C137" s="15">
        <v>1</v>
      </c>
      <c r="D137" s="10" t="s">
        <v>255</v>
      </c>
      <c r="E137" s="10" t="s">
        <v>476</v>
      </c>
      <c r="F137" s="10">
        <v>1</v>
      </c>
      <c r="G137" s="15" t="s">
        <v>252</v>
      </c>
      <c r="H137" s="15" t="s">
        <v>417</v>
      </c>
      <c r="I137" s="15">
        <v>1</v>
      </c>
      <c r="J137" s="10" t="s">
        <v>121</v>
      </c>
      <c r="K137" s="15" t="s">
        <v>121</v>
      </c>
      <c r="L137" s="15">
        <v>0</v>
      </c>
      <c r="M137" s="17" t="s">
        <v>48</v>
      </c>
      <c r="N137" s="15" t="s">
        <v>425</v>
      </c>
      <c r="O137" s="15">
        <v>1</v>
      </c>
      <c r="P137" s="9">
        <v>80</v>
      </c>
      <c r="Q137" s="1">
        <v>24</v>
      </c>
      <c r="R137" s="10">
        <v>78</v>
      </c>
      <c r="S137" s="15" t="s">
        <v>253</v>
      </c>
    </row>
    <row r="138" spans="1:19">
      <c r="A138" s="10" t="s">
        <v>259</v>
      </c>
      <c r="B138" s="33" t="s">
        <v>526</v>
      </c>
      <c r="C138" s="15">
        <v>1</v>
      </c>
      <c r="D138" s="10" t="s">
        <v>260</v>
      </c>
      <c r="E138" s="10" t="s">
        <v>500</v>
      </c>
      <c r="F138" s="10">
        <v>1</v>
      </c>
      <c r="G138" s="15" t="s">
        <v>252</v>
      </c>
      <c r="H138" s="15" t="s">
        <v>417</v>
      </c>
      <c r="I138" s="15">
        <v>1</v>
      </c>
      <c r="J138" s="10" t="s">
        <v>121</v>
      </c>
      <c r="K138" s="15" t="s">
        <v>121</v>
      </c>
      <c r="L138" s="15">
        <v>0</v>
      </c>
      <c r="M138" s="17" t="s">
        <v>48</v>
      </c>
      <c r="N138" s="15" t="s">
        <v>425</v>
      </c>
      <c r="O138" s="15">
        <v>1</v>
      </c>
      <c r="P138" s="9">
        <v>80</v>
      </c>
      <c r="Q138" s="1">
        <v>6</v>
      </c>
      <c r="R138" s="10">
        <v>51</v>
      </c>
      <c r="S138" s="15" t="s">
        <v>253</v>
      </c>
    </row>
    <row r="139" spans="1:19">
      <c r="A139" s="10" t="s">
        <v>214</v>
      </c>
      <c r="B139" s="32" t="s">
        <v>449</v>
      </c>
      <c r="C139" s="15">
        <v>1.1000000000000001</v>
      </c>
      <c r="D139" s="10" t="s">
        <v>120</v>
      </c>
      <c r="E139" s="55" t="s">
        <v>457</v>
      </c>
      <c r="F139" s="10">
        <v>1</v>
      </c>
      <c r="G139" s="15" t="s">
        <v>28</v>
      </c>
      <c r="H139" s="14" t="s">
        <v>394</v>
      </c>
      <c r="I139" s="15">
        <v>1</v>
      </c>
      <c r="J139" s="10" t="s">
        <v>121</v>
      </c>
      <c r="K139" s="15" t="s">
        <v>121</v>
      </c>
      <c r="L139" s="15">
        <v>0</v>
      </c>
      <c r="M139" s="15" t="s">
        <v>174</v>
      </c>
      <c r="N139" s="15" t="s">
        <v>435</v>
      </c>
      <c r="O139" s="15">
        <v>0.625</v>
      </c>
      <c r="P139" s="9">
        <v>25</v>
      </c>
      <c r="Q139" s="1">
        <v>0.33</v>
      </c>
      <c r="R139" s="10">
        <v>99</v>
      </c>
      <c r="S139" s="15" t="s">
        <v>261</v>
      </c>
    </row>
    <row r="140" spans="1:19">
      <c r="A140" s="10" t="s">
        <v>262</v>
      </c>
      <c r="B140" s="33" t="s">
        <v>527</v>
      </c>
      <c r="C140" s="15">
        <v>1.1000000000000001</v>
      </c>
      <c r="D140" s="10" t="s">
        <v>120</v>
      </c>
      <c r="E140" s="55" t="s">
        <v>457</v>
      </c>
      <c r="F140" s="10">
        <v>1</v>
      </c>
      <c r="G140" s="15" t="s">
        <v>28</v>
      </c>
      <c r="H140" s="14" t="s">
        <v>394</v>
      </c>
      <c r="I140" s="15">
        <v>1</v>
      </c>
      <c r="J140" s="10" t="s">
        <v>121</v>
      </c>
      <c r="K140" s="15" t="s">
        <v>121</v>
      </c>
      <c r="L140" s="15">
        <v>0</v>
      </c>
      <c r="M140" s="15" t="s">
        <v>174</v>
      </c>
      <c r="N140" s="15" t="s">
        <v>435</v>
      </c>
      <c r="O140" s="15">
        <v>0.625</v>
      </c>
      <c r="P140" s="9">
        <v>25</v>
      </c>
      <c r="Q140" s="1">
        <v>0.33</v>
      </c>
      <c r="R140" s="10">
        <v>85</v>
      </c>
      <c r="S140" s="15" t="s">
        <v>261</v>
      </c>
    </row>
    <row r="141" spans="1:19">
      <c r="A141" s="10" t="s">
        <v>263</v>
      </c>
      <c r="B141" s="33" t="s">
        <v>528</v>
      </c>
      <c r="C141" s="15">
        <v>1.1000000000000001</v>
      </c>
      <c r="D141" s="10" t="s">
        <v>120</v>
      </c>
      <c r="E141" s="55" t="s">
        <v>457</v>
      </c>
      <c r="F141" s="10">
        <v>1</v>
      </c>
      <c r="G141" s="15" t="s">
        <v>28</v>
      </c>
      <c r="H141" s="14" t="s">
        <v>394</v>
      </c>
      <c r="I141" s="15">
        <v>1</v>
      </c>
      <c r="J141" s="10" t="s">
        <v>121</v>
      </c>
      <c r="K141" s="15" t="s">
        <v>121</v>
      </c>
      <c r="L141" s="15">
        <v>0</v>
      </c>
      <c r="M141" s="15" t="s">
        <v>174</v>
      </c>
      <c r="N141" s="15" t="s">
        <v>435</v>
      </c>
      <c r="O141" s="15">
        <v>0.625</v>
      </c>
      <c r="P141" s="9">
        <v>25</v>
      </c>
      <c r="Q141" s="1">
        <v>0.33</v>
      </c>
      <c r="R141" s="10">
        <v>91</v>
      </c>
      <c r="S141" s="15" t="s">
        <v>261</v>
      </c>
    </row>
    <row r="142" spans="1:19">
      <c r="A142" s="10" t="s">
        <v>119</v>
      </c>
      <c r="B142" s="15" t="s">
        <v>369</v>
      </c>
      <c r="C142" s="15">
        <v>1.1000000000000001</v>
      </c>
      <c r="D142" s="10" t="s">
        <v>264</v>
      </c>
      <c r="E142" s="10" t="s">
        <v>516</v>
      </c>
      <c r="F142" s="10">
        <v>1</v>
      </c>
      <c r="G142" s="15" t="s">
        <v>28</v>
      </c>
      <c r="H142" s="14" t="s">
        <v>394</v>
      </c>
      <c r="I142" s="15">
        <v>1</v>
      </c>
      <c r="J142" s="10" t="s">
        <v>121</v>
      </c>
      <c r="K142" s="15" t="s">
        <v>121</v>
      </c>
      <c r="L142" s="15">
        <v>0</v>
      </c>
      <c r="M142" s="15" t="s">
        <v>174</v>
      </c>
      <c r="N142" s="15" t="s">
        <v>435</v>
      </c>
      <c r="O142" s="15">
        <v>0.625</v>
      </c>
      <c r="P142" s="9">
        <v>25</v>
      </c>
      <c r="Q142" s="1">
        <v>0.33</v>
      </c>
      <c r="R142" s="10">
        <v>68</v>
      </c>
      <c r="S142" s="15" t="s">
        <v>261</v>
      </c>
    </row>
    <row r="143" spans="1:19">
      <c r="A143" s="10" t="s">
        <v>265</v>
      </c>
      <c r="B143" s="33" t="s">
        <v>529</v>
      </c>
      <c r="C143" s="15">
        <v>1.1000000000000001</v>
      </c>
      <c r="D143" s="10" t="s">
        <v>120</v>
      </c>
      <c r="E143" s="55" t="s">
        <v>457</v>
      </c>
      <c r="F143" s="10">
        <v>1</v>
      </c>
      <c r="G143" s="15" t="s">
        <v>28</v>
      </c>
      <c r="H143" s="14" t="s">
        <v>394</v>
      </c>
      <c r="I143" s="15">
        <v>1</v>
      </c>
      <c r="J143" s="10" t="s">
        <v>121</v>
      </c>
      <c r="K143" s="15" t="s">
        <v>121</v>
      </c>
      <c r="L143" s="15">
        <v>0</v>
      </c>
      <c r="M143" s="15" t="s">
        <v>174</v>
      </c>
      <c r="N143" s="15" t="s">
        <v>435</v>
      </c>
      <c r="O143" s="15">
        <v>0.625</v>
      </c>
      <c r="P143" s="9">
        <v>25</v>
      </c>
      <c r="Q143" s="1">
        <v>0.33</v>
      </c>
      <c r="R143" s="10">
        <v>69</v>
      </c>
      <c r="S143" s="15" t="s">
        <v>261</v>
      </c>
    </row>
    <row r="144" spans="1:19">
      <c r="A144" s="10" t="s">
        <v>266</v>
      </c>
      <c r="B144" s="33" t="s">
        <v>530</v>
      </c>
      <c r="C144" s="15">
        <v>1</v>
      </c>
      <c r="D144" s="10" t="s">
        <v>267</v>
      </c>
      <c r="E144" s="10" t="s">
        <v>517</v>
      </c>
      <c r="F144" s="10">
        <v>1</v>
      </c>
      <c r="G144" s="15" t="s">
        <v>268</v>
      </c>
      <c r="H144" s="15" t="s">
        <v>418</v>
      </c>
      <c r="I144" s="15">
        <v>1.23</v>
      </c>
      <c r="J144" s="44" t="s">
        <v>196</v>
      </c>
      <c r="K144" s="14" t="s">
        <v>381</v>
      </c>
      <c r="L144" s="15">
        <v>2.52</v>
      </c>
      <c r="M144" s="15" t="s">
        <v>40</v>
      </c>
      <c r="N144" s="14" t="s">
        <v>423</v>
      </c>
      <c r="O144" s="15">
        <v>3.4000000000000002E-2</v>
      </c>
      <c r="P144" s="9">
        <v>70</v>
      </c>
      <c r="Q144" s="1">
        <v>2</v>
      </c>
      <c r="R144" s="10">
        <v>84</v>
      </c>
      <c r="S144" s="15" t="s">
        <v>269</v>
      </c>
    </row>
    <row r="145" spans="1:20">
      <c r="A145" s="26" t="s">
        <v>372</v>
      </c>
      <c r="B145" s="33" t="s">
        <v>371</v>
      </c>
      <c r="C145" s="15">
        <v>1</v>
      </c>
      <c r="D145" s="10" t="s">
        <v>247</v>
      </c>
      <c r="E145" s="10" t="s">
        <v>466</v>
      </c>
      <c r="F145" s="10">
        <v>1</v>
      </c>
      <c r="G145" s="15" t="s">
        <v>268</v>
      </c>
      <c r="H145" s="15" t="s">
        <v>418</v>
      </c>
      <c r="I145" s="15">
        <v>1.23</v>
      </c>
      <c r="J145" s="44" t="s">
        <v>196</v>
      </c>
      <c r="K145" s="14" t="s">
        <v>381</v>
      </c>
      <c r="L145" s="15">
        <v>2.52</v>
      </c>
      <c r="M145" s="15" t="s">
        <v>40</v>
      </c>
      <c r="N145" s="14" t="s">
        <v>423</v>
      </c>
      <c r="O145" s="15">
        <v>3.4000000000000002E-2</v>
      </c>
      <c r="P145" s="9">
        <v>70</v>
      </c>
      <c r="Q145" s="1">
        <v>2</v>
      </c>
      <c r="R145" s="10">
        <v>92</v>
      </c>
      <c r="S145" s="15" t="s">
        <v>269</v>
      </c>
    </row>
    <row r="146" spans="1:20">
      <c r="A146" s="10" t="s">
        <v>119</v>
      </c>
      <c r="B146" s="15" t="s">
        <v>369</v>
      </c>
      <c r="C146" s="15">
        <v>1</v>
      </c>
      <c r="D146" s="10" t="s">
        <v>270</v>
      </c>
      <c r="E146" s="10" t="s">
        <v>501</v>
      </c>
      <c r="F146" s="10">
        <v>1</v>
      </c>
      <c r="G146" s="15" t="s">
        <v>268</v>
      </c>
      <c r="H146" s="15" t="s">
        <v>418</v>
      </c>
      <c r="I146" s="15">
        <v>1.23</v>
      </c>
      <c r="J146" s="44" t="s">
        <v>196</v>
      </c>
      <c r="K146" s="14" t="s">
        <v>381</v>
      </c>
      <c r="L146" s="15">
        <v>2.52</v>
      </c>
      <c r="M146" s="15" t="s">
        <v>40</v>
      </c>
      <c r="N146" s="14" t="s">
        <v>423</v>
      </c>
      <c r="O146" s="15">
        <v>3.4000000000000002E-2</v>
      </c>
      <c r="P146" s="9">
        <v>70</v>
      </c>
      <c r="Q146" s="1">
        <v>4</v>
      </c>
      <c r="R146" s="10">
        <v>82</v>
      </c>
      <c r="S146" s="15" t="s">
        <v>269</v>
      </c>
    </row>
    <row r="147" spans="1:20">
      <c r="A147" s="10" t="s">
        <v>271</v>
      </c>
      <c r="B147" s="33" t="s">
        <v>531</v>
      </c>
      <c r="C147" s="15">
        <v>1</v>
      </c>
      <c r="D147" s="10" t="s">
        <v>247</v>
      </c>
      <c r="E147" s="10" t="s">
        <v>466</v>
      </c>
      <c r="F147" s="10">
        <v>1</v>
      </c>
      <c r="G147" s="15" t="s">
        <v>268</v>
      </c>
      <c r="H147" s="15" t="s">
        <v>418</v>
      </c>
      <c r="I147" s="15">
        <v>1.23</v>
      </c>
      <c r="J147" s="44" t="s">
        <v>196</v>
      </c>
      <c r="K147" s="14" t="s">
        <v>381</v>
      </c>
      <c r="L147" s="15">
        <v>2.52</v>
      </c>
      <c r="M147" s="15" t="s">
        <v>40</v>
      </c>
      <c r="N147" s="14" t="s">
        <v>423</v>
      </c>
      <c r="O147" s="15">
        <v>3.4000000000000002E-2</v>
      </c>
      <c r="P147" s="9">
        <v>70</v>
      </c>
      <c r="Q147" s="1">
        <v>4</v>
      </c>
      <c r="R147" s="10">
        <v>63</v>
      </c>
      <c r="S147" s="15" t="s">
        <v>269</v>
      </c>
    </row>
    <row r="148" spans="1:20">
      <c r="A148" s="10" t="s">
        <v>119</v>
      </c>
      <c r="B148" s="15" t="s">
        <v>369</v>
      </c>
      <c r="C148" s="15">
        <v>1</v>
      </c>
      <c r="D148" s="10" t="s">
        <v>272</v>
      </c>
      <c r="E148" s="10" t="s">
        <v>502</v>
      </c>
      <c r="F148" s="10">
        <v>1</v>
      </c>
      <c r="G148" s="15" t="s">
        <v>268</v>
      </c>
      <c r="H148" s="15" t="s">
        <v>418</v>
      </c>
      <c r="I148" s="15">
        <v>1.23</v>
      </c>
      <c r="J148" s="44" t="s">
        <v>196</v>
      </c>
      <c r="K148" s="14" t="s">
        <v>381</v>
      </c>
      <c r="L148" s="15">
        <v>2.52</v>
      </c>
      <c r="M148" s="15" t="s">
        <v>40</v>
      </c>
      <c r="N148" s="14" t="s">
        <v>423</v>
      </c>
      <c r="O148" s="15">
        <v>3.4000000000000002E-2</v>
      </c>
      <c r="P148" s="9">
        <v>70</v>
      </c>
      <c r="Q148" s="1">
        <v>4</v>
      </c>
      <c r="R148" s="10">
        <v>48</v>
      </c>
      <c r="S148" s="15" t="s">
        <v>269</v>
      </c>
    </row>
    <row r="149" spans="1:20">
      <c r="A149" s="10" t="s">
        <v>273</v>
      </c>
      <c r="B149" s="33" t="s">
        <v>532</v>
      </c>
      <c r="C149" s="15">
        <v>4</v>
      </c>
      <c r="D149" s="10" t="s">
        <v>274</v>
      </c>
      <c r="E149" s="10" t="s">
        <v>503</v>
      </c>
      <c r="F149" s="10">
        <v>1</v>
      </c>
      <c r="G149" s="15" t="s">
        <v>275</v>
      </c>
      <c r="H149" s="15" t="s">
        <v>419</v>
      </c>
      <c r="I149" s="15">
        <v>1</v>
      </c>
      <c r="J149" s="10" t="s">
        <v>121</v>
      </c>
      <c r="K149" s="15" t="s">
        <v>121</v>
      </c>
      <c r="L149" s="15">
        <v>0</v>
      </c>
      <c r="M149" s="15" t="s">
        <v>153</v>
      </c>
      <c r="N149" s="15" t="s">
        <v>430</v>
      </c>
      <c r="O149" s="15">
        <v>1</v>
      </c>
      <c r="P149" s="9">
        <v>110</v>
      </c>
      <c r="Q149" s="1">
        <v>12</v>
      </c>
      <c r="R149" s="10">
        <v>83</v>
      </c>
      <c r="S149" s="15" t="s">
        <v>276</v>
      </c>
    </row>
    <row r="150" spans="1:20">
      <c r="A150" s="10" t="s">
        <v>277</v>
      </c>
      <c r="B150" s="33" t="s">
        <v>533</v>
      </c>
      <c r="C150" s="15">
        <v>3</v>
      </c>
      <c r="D150" s="10" t="s">
        <v>120</v>
      </c>
      <c r="E150" s="55" t="s">
        <v>457</v>
      </c>
      <c r="F150" s="10">
        <v>1</v>
      </c>
      <c r="G150" s="15" t="s">
        <v>275</v>
      </c>
      <c r="H150" s="15" t="s">
        <v>419</v>
      </c>
      <c r="I150" s="15">
        <v>1</v>
      </c>
      <c r="J150" s="10" t="s">
        <v>121</v>
      </c>
      <c r="K150" s="15" t="s">
        <v>121</v>
      </c>
      <c r="L150" s="15">
        <v>0</v>
      </c>
      <c r="M150" s="15" t="s">
        <v>153</v>
      </c>
      <c r="N150" s="48" t="s">
        <v>430</v>
      </c>
      <c r="O150" s="15">
        <v>1</v>
      </c>
      <c r="P150" s="9">
        <v>110</v>
      </c>
      <c r="Q150" s="1">
        <v>12</v>
      </c>
      <c r="R150" s="10">
        <v>41</v>
      </c>
      <c r="S150" s="15" t="s">
        <v>276</v>
      </c>
    </row>
    <row r="151" spans="1:20">
      <c r="A151" s="10" t="s">
        <v>119</v>
      </c>
      <c r="B151" s="15" t="s">
        <v>369</v>
      </c>
      <c r="C151" s="15">
        <v>4</v>
      </c>
      <c r="D151" s="10" t="s">
        <v>278</v>
      </c>
      <c r="E151" s="10" t="s">
        <v>504</v>
      </c>
      <c r="F151" s="10">
        <v>1</v>
      </c>
      <c r="G151" s="15" t="s">
        <v>275</v>
      </c>
      <c r="H151" s="15" t="s">
        <v>419</v>
      </c>
      <c r="I151" s="15">
        <v>1</v>
      </c>
      <c r="J151" s="10" t="s">
        <v>121</v>
      </c>
      <c r="K151" s="15" t="s">
        <v>121</v>
      </c>
      <c r="L151" s="15">
        <v>0</v>
      </c>
      <c r="M151" s="15" t="s">
        <v>153</v>
      </c>
      <c r="N151" s="15" t="s">
        <v>430</v>
      </c>
      <c r="O151" s="15">
        <v>1</v>
      </c>
      <c r="P151" s="9">
        <v>110</v>
      </c>
      <c r="Q151" s="1">
        <v>12</v>
      </c>
      <c r="R151" s="10">
        <v>90</v>
      </c>
      <c r="S151" s="15" t="s">
        <v>276</v>
      </c>
    </row>
    <row r="152" spans="1:20">
      <c r="A152" s="10" t="s">
        <v>119</v>
      </c>
      <c r="B152" s="15" t="s">
        <v>369</v>
      </c>
      <c r="C152" s="15">
        <v>4</v>
      </c>
      <c r="D152" s="10" t="s">
        <v>279</v>
      </c>
      <c r="E152" s="10" t="s">
        <v>479</v>
      </c>
      <c r="F152" s="10">
        <v>1</v>
      </c>
      <c r="G152" s="15" t="s">
        <v>275</v>
      </c>
      <c r="H152" s="15" t="s">
        <v>419</v>
      </c>
      <c r="I152" s="15">
        <v>1</v>
      </c>
      <c r="J152" s="10" t="s">
        <v>121</v>
      </c>
      <c r="K152" s="15" t="s">
        <v>121</v>
      </c>
      <c r="L152" s="15">
        <v>0</v>
      </c>
      <c r="M152" s="15" t="s">
        <v>153</v>
      </c>
      <c r="N152" s="15" t="s">
        <v>430</v>
      </c>
      <c r="O152" s="15">
        <v>1</v>
      </c>
      <c r="P152" s="9">
        <v>110</v>
      </c>
      <c r="Q152" s="1">
        <v>12</v>
      </c>
      <c r="R152" s="10">
        <v>97</v>
      </c>
      <c r="S152" s="15" t="s">
        <v>276</v>
      </c>
    </row>
    <row r="153" spans="1:20" s="73" customFormat="1">
      <c r="A153" s="63" t="s">
        <v>372</v>
      </c>
      <c r="B153" s="71" t="s">
        <v>371</v>
      </c>
      <c r="C153" s="62">
        <v>4</v>
      </c>
      <c r="D153" s="70" t="s">
        <v>570</v>
      </c>
      <c r="E153" s="63" t="s">
        <v>571</v>
      </c>
      <c r="F153" s="63">
        <v>1</v>
      </c>
      <c r="G153" s="62" t="s">
        <v>275</v>
      </c>
      <c r="H153" s="62" t="s">
        <v>419</v>
      </c>
      <c r="I153" s="62">
        <v>1</v>
      </c>
      <c r="J153" s="63" t="s">
        <v>121</v>
      </c>
      <c r="K153" s="62" t="s">
        <v>121</v>
      </c>
      <c r="L153" s="62">
        <v>0</v>
      </c>
      <c r="M153" s="62" t="s">
        <v>153</v>
      </c>
      <c r="N153" s="62" t="s">
        <v>430</v>
      </c>
      <c r="O153" s="62">
        <v>1</v>
      </c>
      <c r="P153" s="66">
        <v>110</v>
      </c>
      <c r="Q153" s="67">
        <v>12</v>
      </c>
      <c r="R153" s="63">
        <v>87</v>
      </c>
      <c r="S153" s="62" t="s">
        <v>276</v>
      </c>
      <c r="T153" s="72"/>
    </row>
    <row r="154" spans="1:20">
      <c r="A154" s="26" t="s">
        <v>165</v>
      </c>
      <c r="B154" s="15" t="s">
        <v>370</v>
      </c>
      <c r="C154" s="15">
        <v>1.1000000000000001</v>
      </c>
      <c r="D154" s="10" t="s">
        <v>280</v>
      </c>
      <c r="E154" s="10" t="s">
        <v>505</v>
      </c>
      <c r="F154" s="10">
        <v>1</v>
      </c>
      <c r="G154" s="15" t="s">
        <v>281</v>
      </c>
      <c r="H154" s="15" t="s">
        <v>395</v>
      </c>
      <c r="I154" s="15">
        <v>1.1000000000000001</v>
      </c>
      <c r="J154" s="10" t="s">
        <v>282</v>
      </c>
      <c r="K154" s="15" t="s">
        <v>385</v>
      </c>
      <c r="L154" s="15">
        <v>3.1</v>
      </c>
      <c r="M154" s="15" t="s">
        <v>283</v>
      </c>
      <c r="N154" s="15" t="s">
        <v>438</v>
      </c>
      <c r="O154" s="15">
        <v>0.5</v>
      </c>
      <c r="P154" s="9">
        <v>25</v>
      </c>
      <c r="Q154" s="1">
        <v>2</v>
      </c>
      <c r="R154" s="10">
        <v>97</v>
      </c>
      <c r="S154" s="15" t="s">
        <v>284</v>
      </c>
    </row>
    <row r="155" spans="1:20">
      <c r="A155" s="10" t="s">
        <v>285</v>
      </c>
      <c r="B155" s="33" t="s">
        <v>534</v>
      </c>
      <c r="C155" s="15">
        <v>1.1000000000000001</v>
      </c>
      <c r="D155" s="10" t="s">
        <v>286</v>
      </c>
      <c r="E155" s="10" t="s">
        <v>507</v>
      </c>
      <c r="F155" s="10">
        <v>1</v>
      </c>
      <c r="G155" s="15" t="s">
        <v>281</v>
      </c>
      <c r="H155" s="15" t="s">
        <v>395</v>
      </c>
      <c r="I155" s="15">
        <v>1.1000000000000001</v>
      </c>
      <c r="J155" s="10" t="s">
        <v>282</v>
      </c>
      <c r="K155" s="15" t="s">
        <v>385</v>
      </c>
      <c r="L155" s="15">
        <v>3.1</v>
      </c>
      <c r="M155" s="15" t="s">
        <v>283</v>
      </c>
      <c r="N155" s="15" t="s">
        <v>438</v>
      </c>
      <c r="O155" s="15">
        <v>0.5</v>
      </c>
      <c r="P155" s="9">
        <v>25</v>
      </c>
      <c r="Q155" s="1">
        <v>0.25</v>
      </c>
      <c r="R155" s="10">
        <v>99</v>
      </c>
      <c r="S155" s="15" t="s">
        <v>284</v>
      </c>
    </row>
    <row r="156" spans="1:20">
      <c r="A156" s="10" t="s">
        <v>223</v>
      </c>
      <c r="B156" s="33" t="s">
        <v>452</v>
      </c>
      <c r="C156" s="15">
        <v>1.1000000000000001</v>
      </c>
      <c r="D156" s="10" t="s">
        <v>287</v>
      </c>
      <c r="E156" s="10" t="s">
        <v>508</v>
      </c>
      <c r="F156" s="10">
        <v>1</v>
      </c>
      <c r="G156" s="15" t="s">
        <v>281</v>
      </c>
      <c r="H156" s="15" t="s">
        <v>395</v>
      </c>
      <c r="I156" s="15">
        <v>1.1000000000000001</v>
      </c>
      <c r="J156" s="10" t="s">
        <v>282</v>
      </c>
      <c r="K156" s="15" t="s">
        <v>385</v>
      </c>
      <c r="L156" s="15">
        <v>3.1</v>
      </c>
      <c r="M156" s="15" t="s">
        <v>283</v>
      </c>
      <c r="N156" s="15" t="s">
        <v>438</v>
      </c>
      <c r="O156" s="15">
        <v>0.5</v>
      </c>
      <c r="P156" s="9">
        <v>25</v>
      </c>
      <c r="Q156" s="1">
        <v>1</v>
      </c>
      <c r="R156" s="10">
        <v>85</v>
      </c>
      <c r="S156" s="15" t="s">
        <v>284</v>
      </c>
    </row>
    <row r="157" spans="1:20">
      <c r="A157" s="26" t="s">
        <v>165</v>
      </c>
      <c r="B157" s="15" t="s">
        <v>370</v>
      </c>
      <c r="C157" s="15">
        <v>1.1000000000000001</v>
      </c>
      <c r="D157" s="10" t="s">
        <v>288</v>
      </c>
      <c r="E157" s="10" t="s">
        <v>509</v>
      </c>
      <c r="F157" s="10">
        <v>1</v>
      </c>
      <c r="G157" s="15" t="s">
        <v>281</v>
      </c>
      <c r="H157" s="15" t="s">
        <v>395</v>
      </c>
      <c r="I157" s="15">
        <v>1.1000000000000001</v>
      </c>
      <c r="J157" s="10" t="s">
        <v>282</v>
      </c>
      <c r="K157" s="15" t="s">
        <v>385</v>
      </c>
      <c r="L157" s="15">
        <v>3.1</v>
      </c>
      <c r="M157" s="15" t="s">
        <v>283</v>
      </c>
      <c r="N157" s="15" t="s">
        <v>438</v>
      </c>
      <c r="O157" s="15">
        <v>0.5</v>
      </c>
      <c r="P157" s="9">
        <v>25</v>
      </c>
      <c r="Q157" s="1">
        <v>2</v>
      </c>
      <c r="R157" s="10">
        <v>93</v>
      </c>
      <c r="S157" s="15" t="s">
        <v>284</v>
      </c>
    </row>
    <row r="158" spans="1:20">
      <c r="A158" s="10" t="s">
        <v>289</v>
      </c>
      <c r="B158" s="33" t="s">
        <v>535</v>
      </c>
      <c r="C158" s="15">
        <v>1.1000000000000001</v>
      </c>
      <c r="D158" s="10" t="s">
        <v>280</v>
      </c>
      <c r="E158" s="10" t="s">
        <v>505</v>
      </c>
      <c r="F158" s="10">
        <v>1</v>
      </c>
      <c r="G158" s="15" t="s">
        <v>281</v>
      </c>
      <c r="H158" s="15" t="s">
        <v>395</v>
      </c>
      <c r="I158" s="15">
        <v>1.1000000000000001</v>
      </c>
      <c r="J158" s="10" t="s">
        <v>282</v>
      </c>
      <c r="K158" s="15" t="s">
        <v>385</v>
      </c>
      <c r="L158" s="15">
        <v>3.1</v>
      </c>
      <c r="M158" s="15" t="s">
        <v>283</v>
      </c>
      <c r="N158" s="15" t="s">
        <v>438</v>
      </c>
      <c r="O158" s="15">
        <v>0.5</v>
      </c>
      <c r="P158" s="9">
        <v>25</v>
      </c>
      <c r="Q158" s="1">
        <v>4</v>
      </c>
      <c r="R158" s="10">
        <v>86</v>
      </c>
      <c r="S158" s="15" t="s">
        <v>284</v>
      </c>
    </row>
    <row r="159" spans="1:20">
      <c r="A159" s="10" t="s">
        <v>290</v>
      </c>
      <c r="B159" s="33" t="s">
        <v>536</v>
      </c>
      <c r="C159" s="15">
        <v>1.1000000000000001</v>
      </c>
      <c r="D159" s="10" t="s">
        <v>286</v>
      </c>
      <c r="E159" s="10" t="s">
        <v>507</v>
      </c>
      <c r="F159" s="10">
        <v>1</v>
      </c>
      <c r="G159" s="15" t="s">
        <v>281</v>
      </c>
      <c r="H159" s="15" t="s">
        <v>395</v>
      </c>
      <c r="I159" s="15">
        <v>1.1000000000000001</v>
      </c>
      <c r="J159" s="10" t="s">
        <v>282</v>
      </c>
      <c r="K159" s="15" t="s">
        <v>385</v>
      </c>
      <c r="L159" s="15">
        <v>3.1</v>
      </c>
      <c r="M159" s="15" t="s">
        <v>283</v>
      </c>
      <c r="N159" s="15" t="s">
        <v>438</v>
      </c>
      <c r="O159" s="15">
        <v>0.5</v>
      </c>
      <c r="P159" s="9">
        <v>25</v>
      </c>
      <c r="Q159" s="1">
        <v>2</v>
      </c>
      <c r="R159" s="10">
        <v>95</v>
      </c>
      <c r="S159" s="15" t="s">
        <v>284</v>
      </c>
    </row>
    <row r="160" spans="1:20">
      <c r="A160" s="10" t="s">
        <v>254</v>
      </c>
      <c r="B160" s="33" t="s">
        <v>523</v>
      </c>
      <c r="C160" s="15">
        <v>1.1000000000000001</v>
      </c>
      <c r="D160" s="10" t="s">
        <v>291</v>
      </c>
      <c r="E160" s="10" t="s">
        <v>510</v>
      </c>
      <c r="F160" s="10">
        <v>1</v>
      </c>
      <c r="G160" s="15" t="s">
        <v>281</v>
      </c>
      <c r="H160" s="15" t="s">
        <v>395</v>
      </c>
      <c r="I160" s="15">
        <v>1.1000000000000001</v>
      </c>
      <c r="J160" s="10" t="s">
        <v>282</v>
      </c>
      <c r="K160" s="15" t="s">
        <v>385</v>
      </c>
      <c r="L160" s="15">
        <v>3.1</v>
      </c>
      <c r="M160" s="15" t="s">
        <v>283</v>
      </c>
      <c r="N160" s="15" t="s">
        <v>438</v>
      </c>
      <c r="O160" s="15">
        <v>0.5</v>
      </c>
      <c r="P160" s="9">
        <v>25</v>
      </c>
      <c r="Q160" s="1">
        <v>2</v>
      </c>
      <c r="R160" s="10">
        <v>95</v>
      </c>
      <c r="S160" s="15" t="s">
        <v>284</v>
      </c>
    </row>
    <row r="161" spans="1:19">
      <c r="A161" s="26" t="s">
        <v>165</v>
      </c>
      <c r="B161" s="15" t="s">
        <v>370</v>
      </c>
      <c r="C161" s="15">
        <v>1.1000000000000001</v>
      </c>
      <c r="D161" s="10" t="s">
        <v>292</v>
      </c>
      <c r="E161" s="10" t="s">
        <v>511</v>
      </c>
      <c r="F161" s="10">
        <v>1</v>
      </c>
      <c r="G161" s="15" t="s">
        <v>281</v>
      </c>
      <c r="H161" s="15" t="s">
        <v>395</v>
      </c>
      <c r="I161" s="15">
        <v>1.1000000000000001</v>
      </c>
      <c r="J161" s="10" t="s">
        <v>282</v>
      </c>
      <c r="K161" s="15" t="s">
        <v>385</v>
      </c>
      <c r="L161" s="15">
        <v>3.1</v>
      </c>
      <c r="M161" s="15" t="s">
        <v>283</v>
      </c>
      <c r="N161" s="15" t="s">
        <v>438</v>
      </c>
      <c r="O161" s="15">
        <v>0.5</v>
      </c>
      <c r="P161" s="9">
        <v>25</v>
      </c>
      <c r="Q161" s="1">
        <v>4</v>
      </c>
      <c r="R161" s="10">
        <v>99</v>
      </c>
      <c r="S161" s="15" t="s">
        <v>284</v>
      </c>
    </row>
    <row r="162" spans="1:19">
      <c r="A162" s="10" t="s">
        <v>293</v>
      </c>
      <c r="B162" s="33" t="s">
        <v>537</v>
      </c>
      <c r="C162" s="15">
        <v>1.1000000000000001</v>
      </c>
      <c r="D162" s="10" t="s">
        <v>294</v>
      </c>
      <c r="E162" s="10" t="s">
        <v>512</v>
      </c>
      <c r="F162" s="10">
        <v>1</v>
      </c>
      <c r="G162" s="15" t="s">
        <v>281</v>
      </c>
      <c r="H162" s="15" t="s">
        <v>395</v>
      </c>
      <c r="I162" s="15">
        <v>1.1000000000000001</v>
      </c>
      <c r="J162" s="10" t="s">
        <v>282</v>
      </c>
      <c r="K162" s="15" t="s">
        <v>385</v>
      </c>
      <c r="L162" s="15">
        <v>31</v>
      </c>
      <c r="M162" s="15" t="s">
        <v>283</v>
      </c>
      <c r="N162" s="15" t="s">
        <v>438</v>
      </c>
      <c r="O162" s="15">
        <v>0.5</v>
      </c>
      <c r="P162" s="9">
        <v>25</v>
      </c>
      <c r="Q162" s="1">
        <v>2</v>
      </c>
      <c r="R162" s="10">
        <v>92</v>
      </c>
      <c r="S162" s="15" t="s">
        <v>284</v>
      </c>
    </row>
    <row r="163" spans="1:19">
      <c r="A163" s="10" t="s">
        <v>295</v>
      </c>
      <c r="B163" s="33" t="s">
        <v>538</v>
      </c>
      <c r="C163" s="15">
        <v>1.1000000000000001</v>
      </c>
      <c r="D163" s="10" t="s">
        <v>291</v>
      </c>
      <c r="E163" s="10" t="s">
        <v>510</v>
      </c>
      <c r="F163" s="10">
        <v>1</v>
      </c>
      <c r="G163" s="15" t="s">
        <v>281</v>
      </c>
      <c r="H163" s="15" t="s">
        <v>395</v>
      </c>
      <c r="I163" s="15">
        <v>1.1000000000000001</v>
      </c>
      <c r="J163" s="10" t="s">
        <v>282</v>
      </c>
      <c r="K163" s="15" t="s">
        <v>385</v>
      </c>
      <c r="L163" s="15">
        <v>3.1</v>
      </c>
      <c r="M163" s="15" t="s">
        <v>283</v>
      </c>
      <c r="N163" s="15" t="s">
        <v>438</v>
      </c>
      <c r="O163" s="15">
        <v>0.5</v>
      </c>
      <c r="P163" s="9">
        <v>25</v>
      </c>
      <c r="Q163" s="1">
        <v>0.5</v>
      </c>
      <c r="R163" s="10">
        <v>96</v>
      </c>
      <c r="S163" s="15" t="s">
        <v>284</v>
      </c>
    </row>
    <row r="164" spans="1:19">
      <c r="A164" s="10" t="s">
        <v>231</v>
      </c>
      <c r="B164" s="15" t="s">
        <v>488</v>
      </c>
      <c r="C164" s="15">
        <v>1</v>
      </c>
      <c r="D164" s="10" t="s">
        <v>279</v>
      </c>
      <c r="E164" s="10" t="s">
        <v>479</v>
      </c>
      <c r="F164" s="10">
        <v>1</v>
      </c>
      <c r="G164" s="15" t="s">
        <v>296</v>
      </c>
      <c r="H164" s="14" t="s">
        <v>394</v>
      </c>
      <c r="I164" s="15">
        <v>1.2</v>
      </c>
      <c r="J164" s="10" t="s">
        <v>121</v>
      </c>
      <c r="K164" s="15" t="s">
        <v>121</v>
      </c>
      <c r="L164" s="15">
        <v>0</v>
      </c>
      <c r="M164" s="15" t="s">
        <v>121</v>
      </c>
      <c r="N164" s="15" t="s">
        <v>121</v>
      </c>
      <c r="O164" s="15">
        <v>0</v>
      </c>
      <c r="P164" s="9">
        <v>25</v>
      </c>
      <c r="Q164" s="1">
        <v>0.03</v>
      </c>
      <c r="R164" s="10">
        <v>86</v>
      </c>
      <c r="S164" s="15" t="s">
        <v>297</v>
      </c>
    </row>
    <row r="165" spans="1:19">
      <c r="A165" s="10" t="s">
        <v>231</v>
      </c>
      <c r="B165" s="15" t="s">
        <v>488</v>
      </c>
      <c r="C165" s="15">
        <v>1</v>
      </c>
      <c r="D165" s="10" t="s">
        <v>279</v>
      </c>
      <c r="E165" s="10" t="s">
        <v>479</v>
      </c>
      <c r="F165" s="10">
        <v>1</v>
      </c>
      <c r="G165" s="15" t="s">
        <v>296</v>
      </c>
      <c r="H165" s="14" t="s">
        <v>394</v>
      </c>
      <c r="I165" s="15">
        <v>1.2</v>
      </c>
      <c r="J165" s="10" t="s">
        <v>121</v>
      </c>
      <c r="K165" s="15" t="s">
        <v>121</v>
      </c>
      <c r="L165" s="15">
        <v>0</v>
      </c>
      <c r="M165" s="15" t="s">
        <v>16</v>
      </c>
      <c r="N165" s="58" t="s">
        <v>562</v>
      </c>
      <c r="O165" s="15">
        <v>0.5</v>
      </c>
      <c r="P165" s="9">
        <v>25</v>
      </c>
      <c r="Q165" s="1">
        <v>16</v>
      </c>
      <c r="R165" s="10">
        <v>79</v>
      </c>
      <c r="S165" s="15" t="s">
        <v>297</v>
      </c>
    </row>
    <row r="166" spans="1:19">
      <c r="A166" s="10" t="s">
        <v>298</v>
      </c>
      <c r="B166" s="33" t="s">
        <v>539</v>
      </c>
      <c r="C166" s="15">
        <v>1</v>
      </c>
      <c r="D166" s="10" t="s">
        <v>247</v>
      </c>
      <c r="E166" s="10" t="s">
        <v>466</v>
      </c>
      <c r="F166" s="10">
        <v>1</v>
      </c>
      <c r="G166" s="15" t="s">
        <v>296</v>
      </c>
      <c r="H166" s="14" t="s">
        <v>394</v>
      </c>
      <c r="I166" s="15">
        <v>1.2</v>
      </c>
      <c r="J166" s="10" t="s">
        <v>121</v>
      </c>
      <c r="K166" s="15" t="s">
        <v>121</v>
      </c>
      <c r="L166" s="15">
        <v>0</v>
      </c>
      <c r="M166" s="15" t="s">
        <v>121</v>
      </c>
      <c r="N166" s="15" t="s">
        <v>121</v>
      </c>
      <c r="O166" s="15">
        <v>0</v>
      </c>
      <c r="P166" s="9">
        <v>25</v>
      </c>
      <c r="Q166" s="1">
        <v>0.03</v>
      </c>
      <c r="R166" s="10">
        <v>82</v>
      </c>
      <c r="S166" s="15" t="s">
        <v>297</v>
      </c>
    </row>
    <row r="167" spans="1:19">
      <c r="A167" s="10" t="s">
        <v>293</v>
      </c>
      <c r="B167" s="33" t="s">
        <v>537</v>
      </c>
      <c r="C167" s="15">
        <v>1</v>
      </c>
      <c r="D167" s="10" t="s">
        <v>299</v>
      </c>
      <c r="E167" s="10" t="s">
        <v>457</v>
      </c>
      <c r="F167" s="10">
        <v>1</v>
      </c>
      <c r="G167" s="15" t="s">
        <v>296</v>
      </c>
      <c r="H167" s="14" t="s">
        <v>394</v>
      </c>
      <c r="I167" s="15">
        <v>1.2</v>
      </c>
      <c r="J167" s="10" t="s">
        <v>121</v>
      </c>
      <c r="K167" s="15" t="s">
        <v>121</v>
      </c>
      <c r="L167" s="15">
        <v>0</v>
      </c>
      <c r="M167" s="15" t="s">
        <v>121</v>
      </c>
      <c r="N167" s="15" t="s">
        <v>121</v>
      </c>
      <c r="O167" s="15">
        <v>0</v>
      </c>
      <c r="P167" s="9">
        <v>25</v>
      </c>
      <c r="Q167" s="1">
        <v>0.03</v>
      </c>
      <c r="R167" s="10">
        <v>94</v>
      </c>
      <c r="S167" s="15" t="s">
        <v>297</v>
      </c>
    </row>
    <row r="168" spans="1:19">
      <c r="A168" s="10" t="s">
        <v>231</v>
      </c>
      <c r="B168" s="15" t="s">
        <v>488</v>
      </c>
      <c r="C168" s="15">
        <v>1</v>
      </c>
      <c r="D168" s="10" t="s">
        <v>300</v>
      </c>
      <c r="E168" s="10" t="s">
        <v>513</v>
      </c>
      <c r="F168" s="10">
        <v>1</v>
      </c>
      <c r="G168" s="15" t="s">
        <v>296</v>
      </c>
      <c r="H168" s="14" t="s">
        <v>394</v>
      </c>
      <c r="I168" s="15">
        <v>1.2</v>
      </c>
      <c r="J168" s="10" t="s">
        <v>121</v>
      </c>
      <c r="K168" s="15" t="s">
        <v>121</v>
      </c>
      <c r="L168" s="15">
        <v>0</v>
      </c>
      <c r="M168" s="15" t="s">
        <v>121</v>
      </c>
      <c r="N168" s="15" t="s">
        <v>121</v>
      </c>
      <c r="O168" s="15">
        <v>0</v>
      </c>
      <c r="P168" s="9">
        <v>25</v>
      </c>
      <c r="Q168" s="1">
        <v>0.03</v>
      </c>
      <c r="R168" s="10">
        <v>82</v>
      </c>
      <c r="S168" s="15" t="s">
        <v>297</v>
      </c>
    </row>
    <row r="169" spans="1:19">
      <c r="A169" s="26" t="s">
        <v>165</v>
      </c>
      <c r="B169" s="15" t="s">
        <v>370</v>
      </c>
      <c r="C169" s="15">
        <v>1</v>
      </c>
      <c r="D169" s="10" t="s">
        <v>299</v>
      </c>
      <c r="E169" s="10" t="s">
        <v>457</v>
      </c>
      <c r="F169" s="10">
        <v>1</v>
      </c>
      <c r="G169" s="15" t="s">
        <v>301</v>
      </c>
      <c r="H169" s="15" t="s">
        <v>420</v>
      </c>
      <c r="I169" s="15">
        <v>2</v>
      </c>
      <c r="J169" s="10" t="s">
        <v>121</v>
      </c>
      <c r="K169" s="15" t="s">
        <v>121</v>
      </c>
      <c r="L169" s="15">
        <v>0</v>
      </c>
      <c r="M169" s="15" t="s">
        <v>121</v>
      </c>
      <c r="N169" s="15" t="s">
        <v>121</v>
      </c>
      <c r="O169" s="15">
        <v>0</v>
      </c>
      <c r="P169" s="9">
        <v>80</v>
      </c>
      <c r="Q169" s="1">
        <v>16</v>
      </c>
      <c r="R169" s="10">
        <v>91</v>
      </c>
      <c r="S169" s="15" t="s">
        <v>302</v>
      </c>
    </row>
    <row r="170" spans="1:19">
      <c r="A170" s="26" t="s">
        <v>165</v>
      </c>
      <c r="B170" s="15" t="s">
        <v>370</v>
      </c>
      <c r="C170" s="15">
        <v>1</v>
      </c>
      <c r="D170" s="10" t="s">
        <v>303</v>
      </c>
      <c r="E170" s="10" t="s">
        <v>514</v>
      </c>
      <c r="F170" s="10">
        <v>1</v>
      </c>
      <c r="G170" s="15" t="s">
        <v>301</v>
      </c>
      <c r="H170" s="15" t="s">
        <v>420</v>
      </c>
      <c r="I170" s="15">
        <v>2</v>
      </c>
      <c r="J170" s="10" t="s">
        <v>121</v>
      </c>
      <c r="K170" s="15" t="s">
        <v>121</v>
      </c>
      <c r="L170" s="15">
        <v>0</v>
      </c>
      <c r="M170" s="15" t="s">
        <v>121</v>
      </c>
      <c r="N170" s="15" t="s">
        <v>121</v>
      </c>
      <c r="O170" s="15">
        <v>0</v>
      </c>
      <c r="P170" s="9">
        <v>80</v>
      </c>
      <c r="Q170" s="1">
        <v>16</v>
      </c>
      <c r="R170" s="10">
        <v>70</v>
      </c>
      <c r="S170" s="15" t="s">
        <v>302</v>
      </c>
    </row>
    <row r="171" spans="1:19">
      <c r="A171" s="26" t="s">
        <v>165</v>
      </c>
      <c r="B171" s="15" t="s">
        <v>370</v>
      </c>
      <c r="C171" s="15">
        <v>1</v>
      </c>
      <c r="D171" s="10" t="s">
        <v>304</v>
      </c>
      <c r="E171" s="10" t="s">
        <v>506</v>
      </c>
      <c r="F171" s="10">
        <v>1</v>
      </c>
      <c r="G171" s="15" t="s">
        <v>301</v>
      </c>
      <c r="H171" s="15" t="s">
        <v>420</v>
      </c>
      <c r="I171" s="15">
        <v>2</v>
      </c>
      <c r="J171" s="10" t="s">
        <v>24</v>
      </c>
      <c r="K171" s="14" t="s">
        <v>380</v>
      </c>
      <c r="L171" s="15">
        <v>2</v>
      </c>
      <c r="M171" s="15" t="s">
        <v>121</v>
      </c>
      <c r="N171" s="15" t="s">
        <v>121</v>
      </c>
      <c r="O171" s="15">
        <v>0</v>
      </c>
      <c r="P171" s="9">
        <v>80</v>
      </c>
      <c r="Q171" s="1">
        <v>15</v>
      </c>
      <c r="R171" s="10">
        <v>82</v>
      </c>
      <c r="S171" s="15" t="s">
        <v>302</v>
      </c>
    </row>
    <row r="172" spans="1:19">
      <c r="A172" s="10" t="s">
        <v>266</v>
      </c>
      <c r="B172" s="33" t="s">
        <v>530</v>
      </c>
      <c r="C172" s="15">
        <v>1.1000000000000001</v>
      </c>
      <c r="D172" s="10" t="s">
        <v>299</v>
      </c>
      <c r="E172" s="10" t="s">
        <v>457</v>
      </c>
      <c r="F172" s="10">
        <v>1</v>
      </c>
      <c r="G172" s="15" t="s">
        <v>305</v>
      </c>
      <c r="H172" s="15" t="s">
        <v>421</v>
      </c>
      <c r="I172" s="15">
        <v>0.05</v>
      </c>
      <c r="J172" s="10" t="s">
        <v>121</v>
      </c>
      <c r="K172" s="15" t="s">
        <v>121</v>
      </c>
      <c r="L172" s="15">
        <v>0</v>
      </c>
      <c r="M172" s="15" t="s">
        <v>121</v>
      </c>
      <c r="N172" s="15" t="s">
        <v>121</v>
      </c>
      <c r="O172" s="15">
        <v>0</v>
      </c>
      <c r="P172" s="9">
        <v>140</v>
      </c>
      <c r="Q172" s="1">
        <v>12</v>
      </c>
      <c r="R172" s="10">
        <v>80</v>
      </c>
      <c r="S172" s="15" t="s">
        <v>306</v>
      </c>
    </row>
    <row r="173" spans="1:19">
      <c r="A173" s="10" t="s">
        <v>201</v>
      </c>
      <c r="B173" s="15" t="s">
        <v>369</v>
      </c>
      <c r="C173" s="15">
        <v>1.1000000000000001</v>
      </c>
      <c r="D173" s="10" t="s">
        <v>307</v>
      </c>
      <c r="E173" s="10" t="s">
        <v>492</v>
      </c>
      <c r="F173" s="10">
        <v>1</v>
      </c>
      <c r="G173" s="15" t="s">
        <v>305</v>
      </c>
      <c r="H173" s="15" t="s">
        <v>421</v>
      </c>
      <c r="I173" s="15">
        <v>0.5</v>
      </c>
      <c r="J173" s="10" t="s">
        <v>121</v>
      </c>
      <c r="K173" s="15" t="s">
        <v>121</v>
      </c>
      <c r="L173" s="15">
        <v>0</v>
      </c>
      <c r="M173" s="15" t="s">
        <v>121</v>
      </c>
      <c r="N173" s="15" t="s">
        <v>121</v>
      </c>
      <c r="O173" s="15">
        <v>0</v>
      </c>
      <c r="P173" s="9">
        <v>140</v>
      </c>
      <c r="Q173" s="1">
        <v>12</v>
      </c>
      <c r="R173" s="10">
        <v>79</v>
      </c>
      <c r="S173" s="15" t="s">
        <v>306</v>
      </c>
    </row>
    <row r="174" spans="1:19">
      <c r="A174" s="26" t="s">
        <v>310</v>
      </c>
      <c r="B174" s="33" t="s">
        <v>540</v>
      </c>
      <c r="C174" s="17">
        <v>1</v>
      </c>
      <c r="D174" s="26" t="s">
        <v>309</v>
      </c>
      <c r="E174" s="26" t="s">
        <v>515</v>
      </c>
      <c r="F174" s="26">
        <v>2</v>
      </c>
      <c r="G174" s="17" t="s">
        <v>102</v>
      </c>
      <c r="H174" s="15" t="s">
        <v>399</v>
      </c>
      <c r="I174" s="17">
        <v>1.1000000000000001</v>
      </c>
      <c r="J174" s="26" t="s">
        <v>121</v>
      </c>
      <c r="K174" s="17" t="s">
        <v>121</v>
      </c>
      <c r="L174" s="17">
        <v>0</v>
      </c>
      <c r="M174" s="17" t="s">
        <v>22</v>
      </c>
      <c r="N174" s="58" t="s">
        <v>563</v>
      </c>
      <c r="O174" s="17">
        <v>0.5</v>
      </c>
      <c r="P174" s="11">
        <v>22</v>
      </c>
      <c r="Q174" s="50">
        <v>144</v>
      </c>
      <c r="R174" s="26">
        <v>10</v>
      </c>
      <c r="S174" s="17" t="s">
        <v>308</v>
      </c>
    </row>
    <row r="175" spans="1:19">
      <c r="A175" s="26" t="s">
        <v>312</v>
      </c>
      <c r="B175" s="33" t="s">
        <v>541</v>
      </c>
      <c r="C175" s="17">
        <v>1</v>
      </c>
      <c r="D175" s="26" t="s">
        <v>171</v>
      </c>
      <c r="E175" s="26" t="s">
        <v>466</v>
      </c>
      <c r="F175" s="26">
        <v>1.2</v>
      </c>
      <c r="G175" s="17" t="s">
        <v>38</v>
      </c>
      <c r="H175" s="17" t="s">
        <v>398</v>
      </c>
      <c r="I175" s="17">
        <v>1.2</v>
      </c>
      <c r="J175" s="26" t="s">
        <v>27</v>
      </c>
      <c r="K175" s="16" t="s">
        <v>379</v>
      </c>
      <c r="L175" s="17">
        <v>2</v>
      </c>
      <c r="M175" s="17" t="s">
        <v>16</v>
      </c>
      <c r="N175" s="58" t="s">
        <v>562</v>
      </c>
      <c r="O175" s="17">
        <v>0.25</v>
      </c>
      <c r="P175" s="11">
        <v>25</v>
      </c>
      <c r="Q175" s="50">
        <v>24</v>
      </c>
      <c r="R175" s="26">
        <v>20</v>
      </c>
      <c r="S175" s="17" t="s">
        <v>311</v>
      </c>
    </row>
    <row r="176" spans="1:19">
      <c r="A176" s="26" t="s">
        <v>313</v>
      </c>
      <c r="B176" s="33" t="s">
        <v>542</v>
      </c>
      <c r="C176" s="17">
        <v>1</v>
      </c>
      <c r="D176" s="26" t="s">
        <v>314</v>
      </c>
      <c r="E176" s="26" t="s">
        <v>485</v>
      </c>
      <c r="F176" s="26">
        <v>1</v>
      </c>
      <c r="G176" s="17" t="s">
        <v>296</v>
      </c>
      <c r="H176" s="16" t="s">
        <v>394</v>
      </c>
      <c r="I176" s="17">
        <v>1.5</v>
      </c>
      <c r="J176" s="26" t="s">
        <v>121</v>
      </c>
      <c r="K176" s="17" t="s">
        <v>121</v>
      </c>
      <c r="L176" s="17">
        <v>0</v>
      </c>
      <c r="M176" s="17" t="s">
        <v>40</v>
      </c>
      <c r="N176" s="16" t="s">
        <v>423</v>
      </c>
      <c r="O176" s="17">
        <v>0.5</v>
      </c>
      <c r="P176" s="11">
        <v>25</v>
      </c>
      <c r="Q176" s="50">
        <v>12</v>
      </c>
      <c r="R176" s="26">
        <v>24</v>
      </c>
      <c r="S176" s="17" t="s">
        <v>315</v>
      </c>
    </row>
    <row r="177" spans="1:19">
      <c r="A177" s="26" t="s">
        <v>319</v>
      </c>
      <c r="B177" s="15" t="s">
        <v>454</v>
      </c>
      <c r="C177" s="17">
        <v>1</v>
      </c>
      <c r="D177" s="26" t="s">
        <v>318</v>
      </c>
      <c r="E177" s="26" t="s">
        <v>485</v>
      </c>
      <c r="F177" s="26">
        <v>0.7</v>
      </c>
      <c r="G177" s="17" t="s">
        <v>77</v>
      </c>
      <c r="H177" s="16" t="s">
        <v>391</v>
      </c>
      <c r="I177" s="17">
        <v>1</v>
      </c>
      <c r="J177" s="26" t="s">
        <v>24</v>
      </c>
      <c r="K177" s="16" t="s">
        <v>380</v>
      </c>
      <c r="L177" s="17">
        <v>1</v>
      </c>
      <c r="M177" s="17" t="s">
        <v>317</v>
      </c>
      <c r="N177" s="17" t="s">
        <v>424</v>
      </c>
      <c r="O177" s="17">
        <v>0.3</v>
      </c>
      <c r="P177" s="11">
        <v>90</v>
      </c>
      <c r="Q177" s="50">
        <v>12</v>
      </c>
      <c r="R177" s="26">
        <v>34</v>
      </c>
      <c r="S177" s="17" t="s">
        <v>316</v>
      </c>
    </row>
    <row r="178" spans="1:19">
      <c r="A178" s="26" t="s">
        <v>323</v>
      </c>
      <c r="B178" s="33" t="s">
        <v>543</v>
      </c>
      <c r="C178" s="17">
        <v>1</v>
      </c>
      <c r="D178" s="26" t="s">
        <v>322</v>
      </c>
      <c r="E178" s="26" t="s">
        <v>484</v>
      </c>
      <c r="F178" s="26">
        <v>3</v>
      </c>
      <c r="G178" s="17" t="s">
        <v>321</v>
      </c>
      <c r="H178" s="16" t="s">
        <v>394</v>
      </c>
      <c r="I178" s="17">
        <v>1.7</v>
      </c>
      <c r="J178" s="26" t="s">
        <v>24</v>
      </c>
      <c r="K178" s="16" t="s">
        <v>380</v>
      </c>
      <c r="L178" s="17">
        <v>4</v>
      </c>
      <c r="M178" s="17" t="s">
        <v>16</v>
      </c>
      <c r="N178" s="58" t="s">
        <v>562</v>
      </c>
      <c r="O178" s="17">
        <v>0.1</v>
      </c>
      <c r="P178" s="11">
        <v>25</v>
      </c>
      <c r="Q178" s="50">
        <v>12</v>
      </c>
      <c r="R178" s="26">
        <v>40</v>
      </c>
      <c r="S178" s="17" t="s">
        <v>320</v>
      </c>
    </row>
    <row r="179" spans="1:19">
      <c r="A179" s="26" t="s">
        <v>325</v>
      </c>
      <c r="B179" s="33" t="s">
        <v>544</v>
      </c>
      <c r="C179" s="17">
        <v>1</v>
      </c>
      <c r="D179" s="26" t="s">
        <v>324</v>
      </c>
      <c r="E179" s="26" t="s">
        <v>483</v>
      </c>
      <c r="F179" s="26">
        <v>1.2</v>
      </c>
      <c r="G179" s="17" t="s">
        <v>59</v>
      </c>
      <c r="H179" s="16" t="s">
        <v>390</v>
      </c>
      <c r="I179" s="17">
        <v>1.2</v>
      </c>
      <c r="J179" s="44" t="s">
        <v>196</v>
      </c>
      <c r="K179" s="16" t="s">
        <v>381</v>
      </c>
      <c r="L179" s="17">
        <v>1.2</v>
      </c>
      <c r="M179" s="17" t="s">
        <v>16</v>
      </c>
      <c r="N179" s="58" t="s">
        <v>562</v>
      </c>
      <c r="O179" s="17">
        <v>0.5</v>
      </c>
      <c r="P179" s="11">
        <v>21</v>
      </c>
      <c r="Q179" s="50">
        <v>16</v>
      </c>
      <c r="R179" s="26">
        <v>45</v>
      </c>
      <c r="S179" s="17" t="s">
        <v>33</v>
      </c>
    </row>
    <row r="180" spans="1:19">
      <c r="A180" s="26" t="s">
        <v>329</v>
      </c>
      <c r="B180" s="15" t="s">
        <v>370</v>
      </c>
      <c r="C180" s="17">
        <v>1</v>
      </c>
      <c r="D180" s="26" t="s">
        <v>328</v>
      </c>
      <c r="E180" s="44" t="s">
        <v>457</v>
      </c>
      <c r="F180" s="26">
        <v>1</v>
      </c>
      <c r="G180" s="17" t="s">
        <v>327</v>
      </c>
      <c r="H180" s="17" t="s">
        <v>422</v>
      </c>
      <c r="I180" s="17">
        <v>1</v>
      </c>
      <c r="J180" s="26" t="s">
        <v>24</v>
      </c>
      <c r="K180" s="16" t="s">
        <v>380</v>
      </c>
      <c r="L180" s="17">
        <v>2.2000000000000002</v>
      </c>
      <c r="M180" s="17" t="s">
        <v>40</v>
      </c>
      <c r="N180" s="16" t="s">
        <v>423</v>
      </c>
      <c r="O180" s="17">
        <v>2</v>
      </c>
      <c r="P180" s="11">
        <v>25</v>
      </c>
      <c r="Q180" s="50">
        <v>3</v>
      </c>
      <c r="R180" s="26">
        <v>48</v>
      </c>
      <c r="S180" s="17" t="s">
        <v>326</v>
      </c>
    </row>
    <row r="181" spans="1:19">
      <c r="A181" s="26" t="s">
        <v>333</v>
      </c>
      <c r="B181" s="33" t="s">
        <v>545</v>
      </c>
      <c r="C181" s="17">
        <v>1</v>
      </c>
      <c r="D181" s="26" t="s">
        <v>332</v>
      </c>
      <c r="E181" s="26" t="s">
        <v>481</v>
      </c>
      <c r="F181" s="26">
        <v>1.1000000000000001</v>
      </c>
      <c r="G181" s="17" t="s">
        <v>59</v>
      </c>
      <c r="H181" s="16" t="s">
        <v>390</v>
      </c>
      <c r="I181" s="17">
        <v>1.1000000000000001</v>
      </c>
      <c r="J181" s="26" t="s">
        <v>331</v>
      </c>
      <c r="K181" s="17" t="s">
        <v>383</v>
      </c>
      <c r="L181" s="17">
        <v>1.6</v>
      </c>
      <c r="M181" s="17" t="s">
        <v>22</v>
      </c>
      <c r="N181" s="58" t="s">
        <v>563</v>
      </c>
      <c r="O181" s="17">
        <v>0.25</v>
      </c>
      <c r="P181" s="11">
        <v>25</v>
      </c>
      <c r="Q181" s="50">
        <v>48</v>
      </c>
      <c r="R181" s="26">
        <v>48</v>
      </c>
      <c r="S181" s="17" t="s">
        <v>330</v>
      </c>
    </row>
    <row r="182" spans="1:19">
      <c r="A182" s="26" t="s">
        <v>336</v>
      </c>
      <c r="B182" s="33" t="s">
        <v>546</v>
      </c>
      <c r="C182" s="17">
        <v>1</v>
      </c>
      <c r="D182" s="26" t="s">
        <v>335</v>
      </c>
      <c r="E182" s="26" t="s">
        <v>480</v>
      </c>
      <c r="F182" s="26">
        <v>1</v>
      </c>
      <c r="G182" s="17" t="s">
        <v>59</v>
      </c>
      <c r="H182" s="16" t="s">
        <v>390</v>
      </c>
      <c r="I182" s="17">
        <v>2</v>
      </c>
      <c r="J182" s="26" t="s">
        <v>121</v>
      </c>
      <c r="K182" s="17" t="s">
        <v>121</v>
      </c>
      <c r="L182" s="17">
        <v>0</v>
      </c>
      <c r="M182" s="17" t="s">
        <v>40</v>
      </c>
      <c r="N182" s="16" t="s">
        <v>423</v>
      </c>
      <c r="O182" s="17">
        <v>0.5</v>
      </c>
      <c r="P182" s="26">
        <v>25</v>
      </c>
      <c r="Q182" s="17">
        <v>16</v>
      </c>
      <c r="R182" s="26">
        <v>49</v>
      </c>
      <c r="S182" s="17" t="s">
        <v>334</v>
      </c>
    </row>
    <row r="183" spans="1:19">
      <c r="A183" s="26" t="s">
        <v>312</v>
      </c>
      <c r="B183" s="33" t="s">
        <v>541</v>
      </c>
      <c r="C183" s="17">
        <v>1</v>
      </c>
      <c r="D183" s="26" t="s">
        <v>27</v>
      </c>
      <c r="E183" s="20" t="s">
        <v>379</v>
      </c>
      <c r="F183" s="26">
        <v>1.2</v>
      </c>
      <c r="G183" s="17" t="s">
        <v>38</v>
      </c>
      <c r="H183" s="17" t="s">
        <v>398</v>
      </c>
      <c r="I183" s="17">
        <v>1.2</v>
      </c>
      <c r="J183" s="26" t="s">
        <v>27</v>
      </c>
      <c r="K183" s="16" t="s">
        <v>379</v>
      </c>
      <c r="L183" s="17">
        <v>2</v>
      </c>
      <c r="M183" s="17" t="s">
        <v>16</v>
      </c>
      <c r="N183" s="58" t="s">
        <v>562</v>
      </c>
      <c r="O183" s="17">
        <v>0.25</v>
      </c>
      <c r="P183" s="26">
        <v>25</v>
      </c>
      <c r="Q183" s="17">
        <v>24</v>
      </c>
      <c r="R183" s="26">
        <v>50</v>
      </c>
      <c r="S183" s="17" t="s">
        <v>337</v>
      </c>
    </row>
    <row r="184" spans="1:19">
      <c r="A184" s="21" t="s">
        <v>338</v>
      </c>
      <c r="B184" s="33" t="s">
        <v>547</v>
      </c>
      <c r="C184" s="29">
        <v>2</v>
      </c>
      <c r="D184" s="21" t="s">
        <v>324</v>
      </c>
      <c r="E184" s="26" t="s">
        <v>483</v>
      </c>
      <c r="F184" s="21">
        <v>1.2</v>
      </c>
      <c r="G184" s="29" t="s">
        <v>59</v>
      </c>
      <c r="H184" s="16" t="s">
        <v>390</v>
      </c>
      <c r="I184" s="29">
        <v>1.2</v>
      </c>
      <c r="J184" s="44" t="s">
        <v>196</v>
      </c>
      <c r="K184" s="16" t="s">
        <v>381</v>
      </c>
      <c r="L184" s="29">
        <v>1.2</v>
      </c>
      <c r="M184" s="29" t="s">
        <v>16</v>
      </c>
      <c r="N184" s="58" t="s">
        <v>562</v>
      </c>
      <c r="O184" s="29">
        <v>0.5</v>
      </c>
      <c r="P184" s="21">
        <v>21</v>
      </c>
      <c r="Q184" s="29">
        <v>16</v>
      </c>
      <c r="R184" s="21">
        <v>35</v>
      </c>
      <c r="S184" s="29" t="s">
        <v>339</v>
      </c>
    </row>
    <row r="185" spans="1:19">
      <c r="A185" s="22" t="s">
        <v>329</v>
      </c>
      <c r="B185" s="15" t="s">
        <v>370</v>
      </c>
      <c r="C185" s="30">
        <v>1</v>
      </c>
      <c r="D185" s="22" t="s">
        <v>328</v>
      </c>
      <c r="E185" s="44" t="s">
        <v>457</v>
      </c>
      <c r="F185" s="22">
        <v>1</v>
      </c>
      <c r="G185" s="30" t="s">
        <v>327</v>
      </c>
      <c r="H185" s="30" t="s">
        <v>422</v>
      </c>
      <c r="I185" s="30">
        <v>1</v>
      </c>
      <c r="J185" s="22" t="s">
        <v>24</v>
      </c>
      <c r="K185" s="16" t="s">
        <v>380</v>
      </c>
      <c r="L185" s="30">
        <v>2.2000000000000002</v>
      </c>
      <c r="M185" s="30" t="s">
        <v>340</v>
      </c>
      <c r="N185" s="49" t="s">
        <v>434</v>
      </c>
      <c r="O185" s="30">
        <v>2</v>
      </c>
      <c r="P185" s="22">
        <v>25</v>
      </c>
      <c r="Q185" s="30">
        <v>3</v>
      </c>
      <c r="R185" s="22">
        <v>56</v>
      </c>
      <c r="S185" s="30" t="s">
        <v>326</v>
      </c>
    </row>
    <row r="186" spans="1:19">
      <c r="A186" s="22" t="s">
        <v>341</v>
      </c>
      <c r="B186" s="33" t="s">
        <v>548</v>
      </c>
      <c r="C186" s="30">
        <v>1</v>
      </c>
      <c r="D186" s="22" t="s">
        <v>342</v>
      </c>
      <c r="E186" s="26" t="s">
        <v>482</v>
      </c>
      <c r="F186" s="22">
        <v>1.1000000000000001</v>
      </c>
      <c r="G186" s="30" t="s">
        <v>77</v>
      </c>
      <c r="H186" s="16" t="s">
        <v>391</v>
      </c>
      <c r="I186" s="30">
        <v>1.2</v>
      </c>
      <c r="J186" s="22" t="s">
        <v>24</v>
      </c>
      <c r="K186" s="16" t="s">
        <v>380</v>
      </c>
      <c r="L186" s="30">
        <v>2.2000000000000002</v>
      </c>
      <c r="M186" s="17" t="s">
        <v>22</v>
      </c>
      <c r="N186" s="58" t="s">
        <v>563</v>
      </c>
      <c r="O186" s="30">
        <v>0.25</v>
      </c>
      <c r="P186" s="22">
        <v>25</v>
      </c>
      <c r="Q186" s="30">
        <v>16</v>
      </c>
      <c r="R186" s="22">
        <v>15</v>
      </c>
      <c r="S186" s="30" t="s">
        <v>343</v>
      </c>
    </row>
    <row r="187" spans="1:19">
      <c r="A187" s="22" t="s">
        <v>344</v>
      </c>
      <c r="B187" s="33" t="s">
        <v>549</v>
      </c>
      <c r="C187" s="30">
        <v>1</v>
      </c>
      <c r="D187" s="22" t="s">
        <v>345</v>
      </c>
      <c r="E187" s="26" t="s">
        <v>480</v>
      </c>
      <c r="F187" s="22">
        <v>1</v>
      </c>
      <c r="G187" s="30" t="s">
        <v>105</v>
      </c>
      <c r="H187" s="16" t="s">
        <v>393</v>
      </c>
      <c r="I187" s="30">
        <v>1</v>
      </c>
      <c r="J187" s="22" t="s">
        <v>121</v>
      </c>
      <c r="K187" s="17" t="s">
        <v>121</v>
      </c>
      <c r="L187" s="30">
        <v>0</v>
      </c>
      <c r="M187" s="17" t="s">
        <v>22</v>
      </c>
      <c r="N187" s="58" t="s">
        <v>563</v>
      </c>
      <c r="O187" s="30">
        <v>6</v>
      </c>
      <c r="P187" s="22">
        <v>60</v>
      </c>
      <c r="Q187" s="30">
        <v>8</v>
      </c>
      <c r="R187" s="22">
        <v>42</v>
      </c>
      <c r="S187" s="30" t="s">
        <v>346</v>
      </c>
    </row>
    <row r="188" spans="1:19">
      <c r="A188" s="22" t="s">
        <v>347</v>
      </c>
      <c r="B188" s="33" t="s">
        <v>550</v>
      </c>
      <c r="C188" s="30">
        <v>1</v>
      </c>
      <c r="D188" s="22" t="s">
        <v>348</v>
      </c>
      <c r="E188" s="26" t="s">
        <v>478</v>
      </c>
      <c r="F188" s="22">
        <v>2</v>
      </c>
      <c r="G188" s="30" t="s">
        <v>296</v>
      </c>
      <c r="H188" s="16" t="s">
        <v>394</v>
      </c>
      <c r="I188" s="30">
        <v>1</v>
      </c>
      <c r="J188" s="22" t="s">
        <v>349</v>
      </c>
      <c r="K188" s="30" t="s">
        <v>388</v>
      </c>
      <c r="L188" s="30">
        <v>1</v>
      </c>
      <c r="M188" s="17" t="s">
        <v>22</v>
      </c>
      <c r="N188" s="58" t="s">
        <v>563</v>
      </c>
      <c r="O188" s="30">
        <v>1</v>
      </c>
      <c r="P188" s="22">
        <v>50</v>
      </c>
      <c r="Q188" s="30">
        <v>24</v>
      </c>
      <c r="R188" s="22">
        <v>35</v>
      </c>
      <c r="S188" s="30" t="s">
        <v>350</v>
      </c>
    </row>
    <row r="189" spans="1:19">
      <c r="A189" s="23" t="s">
        <v>329</v>
      </c>
      <c r="B189" s="15" t="s">
        <v>370</v>
      </c>
      <c r="C189" s="31">
        <v>1</v>
      </c>
      <c r="D189" s="23" t="s">
        <v>328</v>
      </c>
      <c r="E189" s="44" t="s">
        <v>457</v>
      </c>
      <c r="F189" s="23">
        <v>1</v>
      </c>
      <c r="G189" s="31" t="s">
        <v>327</v>
      </c>
      <c r="H189" s="31" t="s">
        <v>422</v>
      </c>
      <c r="I189" s="31">
        <v>1</v>
      </c>
      <c r="J189" s="23" t="s">
        <v>24</v>
      </c>
      <c r="K189" s="16" t="s">
        <v>380</v>
      </c>
      <c r="L189" s="31">
        <v>2.2000000000000002</v>
      </c>
      <c r="M189" s="17" t="s">
        <v>22</v>
      </c>
      <c r="N189" s="58" t="s">
        <v>563</v>
      </c>
      <c r="O189" s="31">
        <v>2</v>
      </c>
      <c r="P189" s="23">
        <v>25</v>
      </c>
      <c r="Q189" s="31">
        <v>3</v>
      </c>
      <c r="R189" s="23">
        <v>85</v>
      </c>
      <c r="S189" s="53" t="s">
        <v>326</v>
      </c>
    </row>
    <row r="190" spans="1:19">
      <c r="A190" s="83" t="s">
        <v>351</v>
      </c>
      <c r="B190" s="84" t="s">
        <v>551</v>
      </c>
      <c r="C190" s="85">
        <v>1</v>
      </c>
      <c r="D190" s="86" t="s">
        <v>352</v>
      </c>
      <c r="E190" s="82" t="s">
        <v>455</v>
      </c>
      <c r="F190" s="87">
        <v>1.2</v>
      </c>
      <c r="G190" s="85" t="s">
        <v>77</v>
      </c>
      <c r="H190" s="81" t="s">
        <v>391</v>
      </c>
      <c r="I190" s="85">
        <v>2</v>
      </c>
      <c r="J190" s="88" t="s">
        <v>24</v>
      </c>
      <c r="K190" s="81" t="s">
        <v>380</v>
      </c>
      <c r="L190" s="89">
        <v>3</v>
      </c>
      <c r="M190" s="79" t="s">
        <v>22</v>
      </c>
      <c r="N190" s="81" t="s">
        <v>563</v>
      </c>
      <c r="O190" s="89">
        <v>6</v>
      </c>
      <c r="P190" s="87">
        <v>25</v>
      </c>
      <c r="Q190" s="85">
        <v>14</v>
      </c>
      <c r="R190" s="87">
        <v>38</v>
      </c>
      <c r="S190" s="54" t="s">
        <v>353</v>
      </c>
    </row>
    <row r="191" spans="1:19">
      <c r="A191" s="83" t="s">
        <v>553</v>
      </c>
      <c r="B191" s="84" t="s">
        <v>552</v>
      </c>
      <c r="C191" s="85">
        <v>1</v>
      </c>
      <c r="D191" s="86" t="s">
        <v>352</v>
      </c>
      <c r="E191" s="82" t="s">
        <v>455</v>
      </c>
      <c r="F191" s="87">
        <v>1</v>
      </c>
      <c r="G191" s="89" t="s">
        <v>59</v>
      </c>
      <c r="H191" s="81" t="s">
        <v>390</v>
      </c>
      <c r="I191" s="85">
        <v>1.3</v>
      </c>
      <c r="J191" s="83" t="s">
        <v>354</v>
      </c>
      <c r="K191" s="90" t="s">
        <v>389</v>
      </c>
      <c r="L191" s="85">
        <v>3</v>
      </c>
      <c r="M191" s="79" t="s">
        <v>22</v>
      </c>
      <c r="N191" s="81" t="s">
        <v>563</v>
      </c>
      <c r="O191" s="85">
        <v>11</v>
      </c>
      <c r="P191" s="87">
        <v>25</v>
      </c>
      <c r="Q191" s="85">
        <v>21</v>
      </c>
      <c r="R191" s="87">
        <v>44</v>
      </c>
      <c r="S191" s="46" t="s">
        <v>355</v>
      </c>
    </row>
    <row r="192" spans="1:19">
      <c r="A192" s="83" t="s">
        <v>356</v>
      </c>
      <c r="B192" s="84" t="s">
        <v>554</v>
      </c>
      <c r="C192" s="85">
        <v>1</v>
      </c>
      <c r="D192" s="86" t="s">
        <v>352</v>
      </c>
      <c r="E192" s="82" t="s">
        <v>455</v>
      </c>
      <c r="F192" s="87">
        <v>1.2</v>
      </c>
      <c r="G192" s="89" t="s">
        <v>59</v>
      </c>
      <c r="H192" s="81" t="s">
        <v>390</v>
      </c>
      <c r="I192" s="85">
        <v>1.5</v>
      </c>
      <c r="J192" s="88" t="s">
        <v>121</v>
      </c>
      <c r="K192" s="79" t="s">
        <v>121</v>
      </c>
      <c r="L192" s="89">
        <v>0</v>
      </c>
      <c r="M192" s="85" t="s">
        <v>16</v>
      </c>
      <c r="N192" s="81" t="s">
        <v>562</v>
      </c>
      <c r="O192" s="85">
        <v>0.3</v>
      </c>
      <c r="P192" s="87">
        <v>25</v>
      </c>
      <c r="Q192" s="85">
        <v>24</v>
      </c>
      <c r="R192" s="87">
        <v>6</v>
      </c>
      <c r="S192" s="54" t="s">
        <v>357</v>
      </c>
    </row>
    <row r="193" spans="1:19">
      <c r="A193" s="83" t="s">
        <v>556</v>
      </c>
      <c r="B193" s="84" t="s">
        <v>555</v>
      </c>
      <c r="C193" s="85">
        <v>1</v>
      </c>
      <c r="D193" s="91" t="s">
        <v>352</v>
      </c>
      <c r="E193" s="82" t="s">
        <v>455</v>
      </c>
      <c r="F193" s="86">
        <v>1</v>
      </c>
      <c r="G193" s="92" t="s">
        <v>59</v>
      </c>
      <c r="H193" s="81" t="s">
        <v>390</v>
      </c>
      <c r="I193" s="93">
        <v>1.3</v>
      </c>
      <c r="J193" s="83" t="s">
        <v>354</v>
      </c>
      <c r="K193" s="90" t="s">
        <v>389</v>
      </c>
      <c r="L193" s="93">
        <v>3</v>
      </c>
      <c r="M193" s="79" t="s">
        <v>22</v>
      </c>
      <c r="N193" s="81" t="s">
        <v>563</v>
      </c>
      <c r="O193" s="93">
        <v>0.1</v>
      </c>
      <c r="P193" s="86">
        <v>25</v>
      </c>
      <c r="Q193" s="93">
        <v>21</v>
      </c>
      <c r="R193" s="87">
        <v>29</v>
      </c>
      <c r="S193" s="46" t="s">
        <v>355</v>
      </c>
    </row>
    <row r="194" spans="1:19">
      <c r="A194" s="24" t="s">
        <v>358</v>
      </c>
      <c r="B194" s="33" t="s">
        <v>557</v>
      </c>
      <c r="C194" s="4">
        <v>1</v>
      </c>
      <c r="D194" s="39" t="s">
        <v>352</v>
      </c>
      <c r="E194" s="56" t="s">
        <v>455</v>
      </c>
      <c r="F194" s="37">
        <v>1.5</v>
      </c>
      <c r="G194" s="4" t="s">
        <v>77</v>
      </c>
      <c r="H194" s="18" t="s">
        <v>391</v>
      </c>
      <c r="I194" s="4">
        <v>1</v>
      </c>
      <c r="J194" s="36" t="s">
        <v>24</v>
      </c>
      <c r="K194" s="18" t="s">
        <v>380</v>
      </c>
      <c r="L194" s="5">
        <v>3</v>
      </c>
      <c r="M194" s="4" t="s">
        <v>317</v>
      </c>
      <c r="N194" s="4" t="s">
        <v>424</v>
      </c>
      <c r="O194" s="4">
        <v>0.05</v>
      </c>
      <c r="P194" s="27">
        <v>25</v>
      </c>
      <c r="Q194" s="4">
        <v>0.75</v>
      </c>
      <c r="R194" s="27">
        <v>49</v>
      </c>
      <c r="S194" s="46" t="s">
        <v>359</v>
      </c>
    </row>
    <row r="195" spans="1:19">
      <c r="A195" s="24" t="s">
        <v>360</v>
      </c>
      <c r="B195" s="33" t="s">
        <v>558</v>
      </c>
      <c r="C195" s="4">
        <v>1</v>
      </c>
      <c r="D195" s="39" t="s">
        <v>352</v>
      </c>
      <c r="E195" s="56" t="s">
        <v>455</v>
      </c>
      <c r="F195" s="27">
        <v>0.9</v>
      </c>
      <c r="G195" s="4" t="s">
        <v>77</v>
      </c>
      <c r="H195" s="18" t="s">
        <v>391</v>
      </c>
      <c r="I195" s="4">
        <v>1.2</v>
      </c>
      <c r="J195" s="45" t="s">
        <v>196</v>
      </c>
      <c r="K195" s="18" t="s">
        <v>381</v>
      </c>
      <c r="L195" s="4">
        <v>3.6</v>
      </c>
      <c r="M195" s="47" t="s">
        <v>22</v>
      </c>
      <c r="N195" s="58" t="s">
        <v>563</v>
      </c>
      <c r="O195" s="4">
        <v>0.02</v>
      </c>
      <c r="P195" s="27">
        <v>25</v>
      </c>
      <c r="Q195" s="4">
        <v>16</v>
      </c>
      <c r="R195" s="27">
        <v>28</v>
      </c>
      <c r="S195" s="46" t="s">
        <v>361</v>
      </c>
    </row>
    <row r="196" spans="1:19">
      <c r="A196" s="24" t="s">
        <v>559</v>
      </c>
      <c r="B196" s="33" t="s">
        <v>558</v>
      </c>
      <c r="C196" s="4">
        <v>1</v>
      </c>
      <c r="D196" s="40" t="s">
        <v>362</v>
      </c>
      <c r="E196" s="56" t="s">
        <v>456</v>
      </c>
      <c r="F196" s="27">
        <v>1</v>
      </c>
      <c r="G196" s="4" t="s">
        <v>77</v>
      </c>
      <c r="H196" s="18" t="s">
        <v>391</v>
      </c>
      <c r="I196" s="4">
        <v>3</v>
      </c>
      <c r="J196" s="45" t="s">
        <v>196</v>
      </c>
      <c r="K196" s="18" t="s">
        <v>381</v>
      </c>
      <c r="L196" s="4">
        <v>4</v>
      </c>
      <c r="M196" s="47" t="s">
        <v>22</v>
      </c>
      <c r="N196" s="58" t="s">
        <v>563</v>
      </c>
      <c r="O196" s="4">
        <v>0.03</v>
      </c>
      <c r="P196" s="27">
        <v>25</v>
      </c>
      <c r="Q196" s="4">
        <v>16</v>
      </c>
      <c r="R196" s="27">
        <v>13</v>
      </c>
      <c r="S196" s="46" t="s">
        <v>363</v>
      </c>
    </row>
    <row r="197" spans="1:19">
      <c r="A197" s="24" t="s">
        <v>364</v>
      </c>
      <c r="B197" s="33" t="s">
        <v>560</v>
      </c>
      <c r="C197" s="4">
        <v>1</v>
      </c>
      <c r="D197" s="40" t="s">
        <v>362</v>
      </c>
      <c r="E197" s="56" t="s">
        <v>456</v>
      </c>
      <c r="F197" s="27">
        <v>1.5</v>
      </c>
      <c r="G197" s="4" t="s">
        <v>77</v>
      </c>
      <c r="H197" s="18" t="s">
        <v>391</v>
      </c>
      <c r="I197" s="4">
        <v>1</v>
      </c>
      <c r="J197" s="36" t="s">
        <v>24</v>
      </c>
      <c r="K197" s="18" t="s">
        <v>380</v>
      </c>
      <c r="L197" s="5">
        <v>4</v>
      </c>
      <c r="M197" s="47" t="s">
        <v>22</v>
      </c>
      <c r="N197" s="58" t="s">
        <v>563</v>
      </c>
      <c r="O197" s="4">
        <v>1</v>
      </c>
      <c r="P197" s="12">
        <v>25</v>
      </c>
      <c r="Q197" s="51">
        <v>16</v>
      </c>
      <c r="R197" s="27">
        <v>38</v>
      </c>
      <c r="S197" s="46" t="s">
        <v>359</v>
      </c>
    </row>
    <row r="198" spans="1:19">
      <c r="A198" s="10"/>
      <c r="C198" s="15"/>
      <c r="D198" s="10"/>
      <c r="F198" s="10"/>
      <c r="G198" s="15"/>
      <c r="H198" s="15"/>
      <c r="I198" s="15"/>
      <c r="J198" s="10"/>
      <c r="K198" s="15"/>
      <c r="L198" s="15"/>
      <c r="M198" s="15"/>
      <c r="O198" s="15"/>
      <c r="P198" s="9"/>
      <c r="Q198" s="1"/>
      <c r="R198" s="10"/>
      <c r="S198" s="15"/>
    </row>
    <row r="199" spans="1:19">
      <c r="A199" s="10"/>
      <c r="C199" s="15"/>
      <c r="D199" s="10"/>
      <c r="F199" s="10"/>
      <c r="G199" s="15"/>
      <c r="H199" s="15"/>
      <c r="I199" s="15"/>
      <c r="J199" s="10"/>
      <c r="K199" s="15"/>
      <c r="L199" s="15"/>
      <c r="M199" s="15"/>
      <c r="O199" s="15"/>
      <c r="P199" s="9"/>
      <c r="Q199" s="1"/>
      <c r="R199" s="10"/>
      <c r="S199" s="15"/>
    </row>
    <row r="200" spans="1:19">
      <c r="A200" s="10"/>
      <c r="C200" s="15"/>
      <c r="D200" s="10"/>
      <c r="F200" s="10"/>
      <c r="G200" s="15"/>
      <c r="H200" s="15"/>
      <c r="I200" s="15"/>
      <c r="J200" s="10"/>
      <c r="K200" s="15"/>
      <c r="L200" s="15"/>
      <c r="M200" s="15"/>
      <c r="O200" s="15"/>
      <c r="P200" s="9"/>
      <c r="Q200" s="1"/>
      <c r="R200" s="10"/>
      <c r="S200" s="15"/>
    </row>
    <row r="201" spans="1:19">
      <c r="A201" s="10"/>
      <c r="C201" s="15"/>
      <c r="D201" s="10"/>
      <c r="F201" s="10"/>
      <c r="G201" s="15"/>
      <c r="H201" s="15"/>
      <c r="I201" s="15"/>
      <c r="J201" s="10"/>
      <c r="K201" s="15"/>
      <c r="L201" s="15"/>
      <c r="M201" s="15"/>
      <c r="O201" s="15"/>
      <c r="P201" s="9"/>
      <c r="Q201" s="1"/>
      <c r="R201" s="10"/>
      <c r="S201" s="15"/>
    </row>
    <row r="202" spans="1:19">
      <c r="A202" s="10"/>
      <c r="C202" s="15"/>
      <c r="D202" s="10"/>
      <c r="F202" s="10"/>
      <c r="G202" s="15"/>
      <c r="H202" s="15"/>
      <c r="I202" s="15"/>
      <c r="J202" s="10"/>
      <c r="K202" s="15"/>
      <c r="L202" s="15"/>
      <c r="M202" s="15"/>
      <c r="O202" s="15"/>
      <c r="P202" s="9"/>
      <c r="Q202" s="1"/>
      <c r="R202" s="10"/>
      <c r="S202" s="15"/>
    </row>
    <row r="203" spans="1:19">
      <c r="A203" s="10"/>
      <c r="C203" s="15"/>
      <c r="D203" s="10"/>
      <c r="F203" s="10"/>
      <c r="G203" s="15"/>
      <c r="H203" s="15"/>
      <c r="I203" s="15"/>
      <c r="J203" s="10"/>
      <c r="K203" s="15"/>
      <c r="L203" s="15"/>
      <c r="M203" s="15"/>
      <c r="O203" s="15"/>
      <c r="P203" s="9"/>
      <c r="Q203" s="1"/>
      <c r="R203" s="10"/>
      <c r="S203" s="15"/>
    </row>
    <row r="204" spans="1:19">
      <c r="A204" s="10"/>
      <c r="C204" s="15"/>
      <c r="D204" s="10"/>
      <c r="F204" s="10"/>
      <c r="G204" s="15"/>
      <c r="H204" s="15"/>
      <c r="I204" s="15"/>
      <c r="J204" s="10"/>
      <c r="K204" s="15"/>
      <c r="L204" s="15"/>
      <c r="M204" s="15"/>
      <c r="O204" s="15"/>
      <c r="P204" s="9"/>
      <c r="Q204" s="1"/>
      <c r="R204" s="10"/>
      <c r="S204" s="15"/>
    </row>
    <row r="205" spans="1:19">
      <c r="A205" s="10"/>
      <c r="C205" s="15"/>
      <c r="D205" s="10"/>
      <c r="F205" s="10"/>
      <c r="G205" s="15"/>
      <c r="H205" s="15"/>
      <c r="I205" s="15"/>
      <c r="J205" s="10"/>
      <c r="K205" s="15"/>
      <c r="L205" s="15"/>
      <c r="M205" s="15"/>
      <c r="O205" s="15"/>
      <c r="P205" s="9"/>
      <c r="Q205" s="1"/>
      <c r="R205" s="10"/>
      <c r="S205" s="15"/>
    </row>
    <row r="206" spans="1:19">
      <c r="A206" s="10"/>
      <c r="C206" s="15"/>
      <c r="D206" s="10"/>
      <c r="F206" s="10"/>
      <c r="G206" s="15"/>
      <c r="H206" s="15"/>
      <c r="I206" s="15"/>
      <c r="J206" s="10"/>
      <c r="K206" s="15"/>
      <c r="L206" s="15"/>
      <c r="M206" s="15"/>
      <c r="O206" s="15"/>
      <c r="P206" s="9"/>
      <c r="Q206" s="1"/>
      <c r="R206" s="10"/>
      <c r="S206" s="15"/>
    </row>
    <row r="207" spans="1:19">
      <c r="A207" s="10"/>
      <c r="C207" s="15"/>
      <c r="D207" s="10"/>
      <c r="F207" s="10"/>
      <c r="G207" s="15"/>
      <c r="H207" s="15"/>
      <c r="I207" s="15"/>
      <c r="J207" s="10"/>
      <c r="K207" s="15"/>
      <c r="L207" s="15"/>
      <c r="M207" s="15"/>
      <c r="O207" s="15"/>
      <c r="P207" s="9"/>
      <c r="Q207" s="1"/>
      <c r="R207" s="10"/>
      <c r="S207" s="15"/>
    </row>
    <row r="208" spans="1:19">
      <c r="A208" s="10"/>
      <c r="C208" s="15"/>
      <c r="D208" s="10"/>
      <c r="F208" s="10"/>
      <c r="G208" s="15"/>
      <c r="H208" s="15"/>
      <c r="I208" s="15"/>
      <c r="J208" s="10"/>
      <c r="K208" s="15"/>
      <c r="L208" s="15"/>
      <c r="M208" s="15"/>
      <c r="O208" s="15"/>
      <c r="P208" s="9"/>
      <c r="Q208" s="1"/>
      <c r="R208" s="10"/>
      <c r="S208" s="15"/>
    </row>
    <row r="209" spans="1:19">
      <c r="A209" s="10"/>
      <c r="C209" s="15"/>
      <c r="D209" s="10"/>
      <c r="F209" s="10"/>
      <c r="G209" s="15"/>
      <c r="H209" s="15"/>
      <c r="I209" s="15"/>
      <c r="J209" s="10"/>
      <c r="K209" s="15"/>
      <c r="L209" s="15"/>
      <c r="M209" s="15"/>
      <c r="O209" s="15"/>
      <c r="P209" s="9"/>
      <c r="Q209" s="1"/>
      <c r="R209" s="10"/>
      <c r="S209" s="15"/>
    </row>
    <row r="210" spans="1:19">
      <c r="A210" s="10"/>
      <c r="C210" s="15"/>
      <c r="D210" s="10"/>
      <c r="F210" s="10"/>
      <c r="G210" s="15"/>
      <c r="H210" s="15"/>
      <c r="I210" s="15"/>
      <c r="J210" s="10"/>
      <c r="K210" s="15"/>
      <c r="L210" s="15"/>
      <c r="M210" s="15"/>
      <c r="O210" s="15"/>
      <c r="P210" s="9"/>
      <c r="Q210" s="1"/>
      <c r="R210" s="10"/>
      <c r="S210" s="10"/>
    </row>
    <row r="211" spans="1:19">
      <c r="A211" s="10"/>
      <c r="C211" s="15"/>
      <c r="D211" s="10"/>
      <c r="F211" s="10"/>
      <c r="G211" s="15"/>
      <c r="H211" s="15"/>
      <c r="I211" s="15"/>
      <c r="J211" s="10"/>
      <c r="K211" s="15"/>
      <c r="L211" s="15"/>
      <c r="M211" s="15"/>
      <c r="O211" s="15"/>
      <c r="P211" s="9"/>
      <c r="Q211" s="1"/>
      <c r="R211" s="10"/>
      <c r="S211" s="10"/>
    </row>
    <row r="212" spans="1:19">
      <c r="A212" s="10"/>
      <c r="C212" s="15"/>
      <c r="D212" s="10"/>
      <c r="F212" s="10"/>
      <c r="G212" s="15"/>
      <c r="H212" s="15"/>
      <c r="I212" s="15"/>
      <c r="J212" s="10"/>
      <c r="K212" s="15"/>
      <c r="L212" s="15"/>
      <c r="M212" s="15"/>
      <c r="O212" s="15"/>
      <c r="P212" s="9"/>
      <c r="Q212" s="1"/>
      <c r="R212" s="10"/>
      <c r="S212" s="10"/>
    </row>
    <row r="213" spans="1:19">
      <c r="A213" s="10"/>
      <c r="C213" s="15"/>
      <c r="D213" s="10"/>
      <c r="F213" s="10"/>
      <c r="G213" s="15"/>
      <c r="H213" s="15"/>
      <c r="I213" s="15"/>
      <c r="J213" s="10"/>
      <c r="K213" s="15"/>
      <c r="L213" s="15"/>
      <c r="M213" s="15"/>
      <c r="O213" s="15"/>
      <c r="P213" s="9"/>
      <c r="Q213" s="1"/>
      <c r="R213" s="10"/>
      <c r="S213" s="10"/>
    </row>
    <row r="214" spans="1:19">
      <c r="A214" s="10"/>
      <c r="C214" s="15"/>
      <c r="D214" s="10"/>
      <c r="F214" s="10"/>
      <c r="G214" s="15"/>
      <c r="H214" s="15"/>
      <c r="I214" s="15"/>
      <c r="J214" s="10"/>
      <c r="K214" s="15"/>
      <c r="L214" s="15"/>
      <c r="M214" s="15"/>
      <c r="O214" s="15"/>
      <c r="P214" s="9"/>
      <c r="Q214" s="1"/>
      <c r="R214" s="10"/>
      <c r="S214" s="10"/>
    </row>
    <row r="215" spans="1:19">
      <c r="A215" s="10"/>
      <c r="C215" s="15"/>
      <c r="D215" s="10"/>
      <c r="F215" s="10"/>
      <c r="G215" s="15"/>
      <c r="H215" s="15"/>
      <c r="I215" s="15"/>
      <c r="J215" s="10"/>
      <c r="K215" s="15"/>
      <c r="L215" s="15"/>
      <c r="M215" s="15"/>
      <c r="O215" s="15"/>
      <c r="P215" s="9"/>
      <c r="Q215" s="1"/>
      <c r="R215" s="10"/>
      <c r="S215" s="10"/>
    </row>
    <row r="216" spans="1:19">
      <c r="A216" s="10"/>
      <c r="C216" s="15"/>
      <c r="D216" s="10"/>
      <c r="F216" s="10"/>
      <c r="G216" s="15"/>
      <c r="H216" s="15"/>
      <c r="I216" s="15"/>
      <c r="J216" s="10"/>
      <c r="K216" s="15"/>
      <c r="L216" s="15"/>
      <c r="M216" s="15"/>
      <c r="O216" s="15"/>
      <c r="P216" s="9"/>
      <c r="Q216" s="1"/>
      <c r="R216" s="10"/>
      <c r="S216" s="10"/>
    </row>
    <row r="217" spans="1:19">
      <c r="A217" s="10"/>
      <c r="C217" s="15"/>
      <c r="D217" s="10"/>
      <c r="F217" s="10"/>
      <c r="G217" s="15"/>
      <c r="H217" s="15"/>
      <c r="I217" s="15"/>
      <c r="J217" s="10"/>
      <c r="K217" s="15"/>
      <c r="L217" s="15"/>
      <c r="M217" s="15"/>
      <c r="O217" s="15"/>
      <c r="P217" s="9"/>
      <c r="Q217" s="1"/>
      <c r="R217" s="10"/>
      <c r="S217" s="10"/>
    </row>
    <row r="218" spans="1:19">
      <c r="A218" s="10"/>
      <c r="C218" s="15"/>
      <c r="D218" s="10"/>
      <c r="F218" s="10"/>
      <c r="G218" s="15"/>
      <c r="H218" s="15"/>
      <c r="I218" s="15"/>
      <c r="J218" s="10"/>
      <c r="K218" s="15"/>
      <c r="L218" s="15"/>
      <c r="M218" s="15"/>
      <c r="O218" s="15"/>
      <c r="P218" s="9"/>
      <c r="Q218" s="1"/>
      <c r="R218" s="10"/>
      <c r="S218" s="10"/>
    </row>
    <row r="219" spans="1:19">
      <c r="A219" s="10"/>
      <c r="C219" s="15"/>
      <c r="D219" s="10"/>
      <c r="F219" s="10"/>
      <c r="G219" s="15"/>
      <c r="H219" s="15"/>
      <c r="I219" s="15"/>
      <c r="J219" s="10"/>
      <c r="K219" s="15"/>
      <c r="L219" s="15"/>
      <c r="M219" s="15"/>
      <c r="O219" s="15"/>
      <c r="P219" s="9"/>
      <c r="Q219" s="1"/>
      <c r="R219" s="10"/>
      <c r="S219" s="10"/>
    </row>
    <row r="220" spans="1:19">
      <c r="A220" s="10"/>
      <c r="C220" s="15"/>
      <c r="D220" s="10"/>
      <c r="F220" s="10"/>
      <c r="G220" s="15"/>
      <c r="H220" s="15"/>
      <c r="I220" s="15"/>
      <c r="J220" s="10"/>
      <c r="K220" s="15"/>
      <c r="L220" s="15"/>
      <c r="M220" s="15"/>
      <c r="O220" s="15"/>
      <c r="P220" s="9"/>
      <c r="Q220" s="1"/>
      <c r="R220" s="10"/>
      <c r="S220" s="10"/>
    </row>
    <row r="221" spans="1:19">
      <c r="A221" s="10"/>
      <c r="C221" s="15"/>
      <c r="D221" s="10"/>
      <c r="F221" s="10"/>
      <c r="G221" s="15"/>
      <c r="H221" s="15"/>
      <c r="I221" s="15"/>
      <c r="J221" s="10"/>
      <c r="K221" s="15"/>
      <c r="L221" s="15"/>
      <c r="M221" s="15"/>
      <c r="O221" s="15"/>
      <c r="P221" s="9"/>
      <c r="Q221" s="1"/>
      <c r="R221" s="10"/>
      <c r="S221" s="10"/>
    </row>
    <row r="222" spans="1:19">
      <c r="A222" s="10"/>
      <c r="C222" s="15"/>
      <c r="D222" s="10"/>
      <c r="F222" s="10"/>
      <c r="G222" s="15"/>
      <c r="H222" s="15"/>
      <c r="I222" s="15"/>
      <c r="J222" s="10"/>
      <c r="K222" s="15"/>
      <c r="L222" s="15"/>
      <c r="M222" s="15"/>
      <c r="O222" s="15"/>
      <c r="P222" s="9"/>
      <c r="Q222" s="1"/>
      <c r="R222" s="10"/>
      <c r="S222" s="10"/>
    </row>
    <row r="223" spans="1:19">
      <c r="A223" s="10"/>
      <c r="C223" s="15"/>
      <c r="D223" s="10"/>
      <c r="F223" s="10"/>
      <c r="G223" s="15"/>
      <c r="H223" s="15"/>
      <c r="I223" s="15"/>
      <c r="J223" s="10"/>
      <c r="K223" s="15"/>
      <c r="L223" s="15"/>
      <c r="M223" s="15"/>
      <c r="O223" s="15"/>
      <c r="P223" s="9"/>
      <c r="Q223" s="1"/>
      <c r="R223" s="10"/>
      <c r="S223" s="10"/>
    </row>
    <row r="224" spans="1:19">
      <c r="A224" s="10"/>
      <c r="C224" s="15"/>
      <c r="D224" s="10"/>
      <c r="F224" s="10"/>
      <c r="G224" s="15"/>
      <c r="H224" s="15"/>
      <c r="I224" s="15"/>
      <c r="J224" s="10"/>
      <c r="K224" s="15"/>
      <c r="L224" s="15"/>
      <c r="M224" s="15"/>
      <c r="O224" s="15"/>
      <c r="P224" s="9"/>
      <c r="Q224" s="1"/>
      <c r="R224" s="10"/>
      <c r="S224" s="10"/>
    </row>
    <row r="225" spans="1:19">
      <c r="A225" s="10"/>
      <c r="C225" s="15"/>
      <c r="D225" s="10"/>
      <c r="F225" s="10"/>
      <c r="G225" s="15"/>
      <c r="H225" s="15"/>
      <c r="I225" s="15"/>
      <c r="J225" s="10"/>
      <c r="K225" s="15"/>
      <c r="L225" s="15"/>
      <c r="M225" s="15"/>
      <c r="O225" s="15"/>
      <c r="P225" s="9"/>
      <c r="Q225" s="1"/>
      <c r="R225" s="10"/>
      <c r="S225" s="10"/>
    </row>
    <row r="226" spans="1:19">
      <c r="A226" s="10"/>
      <c r="C226" s="15"/>
      <c r="D226" s="10"/>
      <c r="F226" s="10"/>
      <c r="G226" s="15"/>
      <c r="H226" s="15"/>
      <c r="I226" s="15"/>
      <c r="J226" s="10"/>
      <c r="K226" s="15"/>
      <c r="L226" s="15"/>
      <c r="M226" s="15"/>
      <c r="O226" s="15"/>
      <c r="P226" s="9"/>
      <c r="Q226" s="1"/>
      <c r="R226" s="10"/>
      <c r="S226" s="10"/>
    </row>
    <row r="227" spans="1:19">
      <c r="A227" s="10"/>
      <c r="C227" s="15"/>
      <c r="D227" s="10"/>
      <c r="F227" s="10"/>
      <c r="G227" s="15"/>
      <c r="H227" s="15"/>
      <c r="I227" s="15"/>
      <c r="J227" s="10"/>
      <c r="K227" s="15"/>
      <c r="L227" s="15"/>
      <c r="M227" s="15"/>
      <c r="O227" s="15"/>
      <c r="P227" s="9"/>
      <c r="Q227" s="1"/>
      <c r="R227" s="10"/>
      <c r="S227" s="10"/>
    </row>
    <row r="228" spans="1:19">
      <c r="A228" s="10"/>
      <c r="C228" s="15"/>
      <c r="D228" s="10"/>
      <c r="F228" s="10"/>
      <c r="G228" s="15"/>
      <c r="H228" s="15"/>
      <c r="I228" s="15"/>
      <c r="J228" s="10"/>
      <c r="K228" s="15"/>
      <c r="L228" s="15"/>
      <c r="M228" s="15"/>
      <c r="O228" s="15"/>
      <c r="P228" s="9"/>
      <c r="Q228" s="1"/>
      <c r="R228" s="10"/>
      <c r="S228" s="10"/>
    </row>
    <row r="229" spans="1:19">
      <c r="A229" s="10"/>
      <c r="C229" s="15"/>
      <c r="D229" s="10"/>
      <c r="F229" s="10"/>
      <c r="G229" s="15"/>
      <c r="H229" s="15"/>
      <c r="I229" s="15"/>
      <c r="J229" s="10"/>
      <c r="K229" s="15"/>
      <c r="L229" s="15"/>
      <c r="M229" s="15"/>
      <c r="O229" s="15"/>
      <c r="P229" s="9"/>
      <c r="Q229" s="1"/>
      <c r="R229" s="10"/>
      <c r="S229" s="10"/>
    </row>
    <row r="230" spans="1:19">
      <c r="A230" s="10"/>
      <c r="C230" s="15"/>
      <c r="D230" s="10"/>
      <c r="F230" s="10"/>
      <c r="G230" s="15"/>
      <c r="H230" s="15"/>
      <c r="I230" s="15"/>
      <c r="J230" s="10"/>
      <c r="K230" s="15"/>
      <c r="L230" s="15"/>
      <c r="M230" s="15"/>
      <c r="O230" s="15"/>
      <c r="P230" s="9"/>
      <c r="Q230" s="1"/>
      <c r="R230" s="10"/>
      <c r="S230" s="10"/>
    </row>
    <row r="231" spans="1:19">
      <c r="A231" s="10"/>
      <c r="C231" s="15"/>
      <c r="D231" s="10"/>
      <c r="F231" s="10"/>
      <c r="G231" s="15"/>
      <c r="H231" s="15"/>
      <c r="I231" s="15"/>
      <c r="J231" s="10"/>
      <c r="K231" s="15"/>
      <c r="L231" s="15"/>
      <c r="M231" s="15"/>
      <c r="O231" s="15"/>
      <c r="P231" s="9"/>
      <c r="Q231" s="1"/>
      <c r="R231" s="10"/>
      <c r="S231" s="10"/>
    </row>
    <row r="232" spans="1:19">
      <c r="A232" s="10"/>
      <c r="C232" s="15"/>
      <c r="D232" s="10"/>
      <c r="F232" s="10"/>
      <c r="G232" s="15"/>
      <c r="H232" s="15"/>
      <c r="I232" s="15"/>
      <c r="J232" s="10"/>
      <c r="K232" s="15"/>
      <c r="L232" s="15"/>
      <c r="M232" s="15"/>
      <c r="O232" s="15"/>
      <c r="P232" s="9"/>
      <c r="Q232" s="1"/>
      <c r="R232" s="10"/>
      <c r="S232" s="10"/>
    </row>
    <row r="233" spans="1:19">
      <c r="A233" s="10"/>
      <c r="C233" s="15"/>
      <c r="D233" s="10"/>
      <c r="F233" s="10"/>
      <c r="G233" s="15"/>
      <c r="H233" s="15"/>
      <c r="I233" s="15"/>
      <c r="J233" s="10"/>
      <c r="K233" s="15"/>
      <c r="L233" s="15"/>
      <c r="M233" s="15"/>
      <c r="O233" s="15"/>
      <c r="P233" s="9"/>
      <c r="Q233" s="1"/>
      <c r="R233" s="10"/>
      <c r="S233" s="10"/>
    </row>
    <row r="234" spans="1:19">
      <c r="A234" s="10"/>
      <c r="C234" s="15"/>
      <c r="D234" s="10"/>
      <c r="F234" s="10"/>
      <c r="G234" s="15"/>
      <c r="H234" s="15"/>
      <c r="I234" s="15"/>
      <c r="J234" s="10"/>
      <c r="K234" s="15"/>
      <c r="L234" s="15"/>
      <c r="M234" s="15"/>
      <c r="O234" s="15"/>
      <c r="P234" s="9"/>
      <c r="Q234" s="1"/>
      <c r="R234" s="10"/>
      <c r="S234" s="10"/>
    </row>
    <row r="235" spans="1:19">
      <c r="A235" s="10"/>
      <c r="C235" s="15"/>
      <c r="D235" s="10"/>
      <c r="F235" s="10"/>
      <c r="G235" s="15"/>
      <c r="H235" s="15"/>
      <c r="I235" s="15"/>
      <c r="J235" s="10"/>
      <c r="K235" s="15"/>
      <c r="L235" s="15"/>
      <c r="M235" s="15"/>
      <c r="O235" s="15"/>
      <c r="P235" s="9"/>
      <c r="Q235" s="1"/>
      <c r="R235" s="10"/>
      <c r="S235" s="10"/>
    </row>
    <row r="236" spans="1:19">
      <c r="A236" s="10"/>
      <c r="C236" s="15"/>
      <c r="D236" s="10"/>
      <c r="F236" s="10"/>
      <c r="G236" s="15"/>
      <c r="H236" s="15"/>
      <c r="I236" s="15"/>
      <c r="J236" s="10"/>
      <c r="K236" s="15"/>
      <c r="L236" s="15"/>
      <c r="M236" s="15"/>
      <c r="O236" s="15"/>
      <c r="P236" s="9"/>
      <c r="Q236" s="1"/>
      <c r="R236" s="10"/>
      <c r="S236" s="10"/>
    </row>
    <row r="237" spans="1:19">
      <c r="A237" s="10"/>
      <c r="C237" s="15"/>
      <c r="D237" s="10"/>
      <c r="F237" s="10"/>
      <c r="G237" s="15"/>
      <c r="H237" s="15"/>
      <c r="I237" s="15"/>
      <c r="J237" s="10"/>
      <c r="K237" s="15"/>
      <c r="L237" s="15"/>
      <c r="M237" s="15"/>
      <c r="O237" s="15"/>
      <c r="P237" s="9"/>
      <c r="Q237" s="1"/>
      <c r="R237" s="10"/>
      <c r="S237" s="10"/>
    </row>
    <row r="238" spans="1:19">
      <c r="A238" s="10"/>
      <c r="C238" s="15"/>
      <c r="D238" s="10"/>
      <c r="F238" s="10"/>
      <c r="G238" s="15"/>
      <c r="H238" s="15"/>
      <c r="I238" s="15"/>
      <c r="J238" s="10"/>
      <c r="K238" s="15"/>
      <c r="L238" s="15"/>
      <c r="M238" s="15"/>
      <c r="O238" s="15"/>
      <c r="P238" s="9"/>
      <c r="Q238" s="1"/>
      <c r="R238" s="10"/>
      <c r="S238" s="10"/>
    </row>
    <row r="239" spans="1:19">
      <c r="A239" s="10"/>
      <c r="C239" s="15"/>
      <c r="D239" s="10"/>
      <c r="F239" s="10"/>
      <c r="G239" s="15"/>
      <c r="H239" s="15"/>
      <c r="I239" s="15"/>
      <c r="J239" s="10"/>
      <c r="K239" s="15"/>
      <c r="L239" s="15"/>
      <c r="M239" s="15"/>
      <c r="O239" s="15"/>
      <c r="P239" s="9"/>
      <c r="Q239" s="1"/>
      <c r="R239" s="10"/>
      <c r="S239" s="10"/>
    </row>
    <row r="240" spans="1:19">
      <c r="A240" s="10"/>
      <c r="C240" s="15"/>
      <c r="D240" s="10"/>
      <c r="F240" s="10"/>
      <c r="G240" s="15"/>
      <c r="H240" s="15"/>
      <c r="I240" s="15"/>
      <c r="J240" s="10"/>
      <c r="K240" s="15"/>
      <c r="L240" s="15"/>
      <c r="M240" s="15"/>
      <c r="O240" s="15"/>
      <c r="P240" s="9"/>
      <c r="Q240" s="1"/>
      <c r="R240" s="10"/>
      <c r="S240" s="10"/>
    </row>
    <row r="241" spans="1:19">
      <c r="A241" s="10"/>
      <c r="C241" s="15"/>
      <c r="D241" s="10"/>
      <c r="F241" s="10"/>
      <c r="G241" s="15"/>
      <c r="H241" s="15"/>
      <c r="I241" s="15"/>
      <c r="J241" s="10"/>
      <c r="K241" s="15"/>
      <c r="L241" s="15"/>
      <c r="M241" s="15"/>
      <c r="O241" s="15"/>
      <c r="P241" s="9"/>
      <c r="Q241" s="1"/>
      <c r="R241" s="10"/>
      <c r="S241" s="10"/>
    </row>
    <row r="242" spans="1:19">
      <c r="A242" s="10"/>
      <c r="C242" s="15"/>
      <c r="D242" s="10"/>
      <c r="F242" s="10"/>
      <c r="G242" s="15"/>
      <c r="H242" s="15"/>
      <c r="I242" s="15"/>
      <c r="J242" s="10"/>
      <c r="K242" s="15"/>
      <c r="L242" s="15"/>
      <c r="M242" s="15"/>
      <c r="O242" s="15"/>
      <c r="P242" s="9"/>
      <c r="Q242" s="1"/>
      <c r="R242" s="10"/>
      <c r="S242" s="10"/>
    </row>
    <row r="243" spans="1:19">
      <c r="A243" s="10"/>
      <c r="C243" s="15"/>
      <c r="D243" s="10"/>
      <c r="F243" s="10"/>
      <c r="G243" s="15"/>
      <c r="H243" s="15"/>
      <c r="I243" s="15"/>
      <c r="J243" s="10"/>
      <c r="K243" s="15"/>
      <c r="L243" s="15"/>
      <c r="M243" s="15"/>
      <c r="O243" s="15"/>
      <c r="P243" s="9"/>
      <c r="Q243" s="1"/>
      <c r="R243" s="10"/>
      <c r="S243" s="10"/>
    </row>
    <row r="244" spans="1:19">
      <c r="A244" s="10"/>
      <c r="C244" s="15"/>
      <c r="D244" s="10"/>
      <c r="F244" s="10"/>
      <c r="G244" s="15"/>
      <c r="H244" s="15"/>
      <c r="I244" s="15"/>
      <c r="J244" s="10"/>
      <c r="K244" s="15"/>
      <c r="L244" s="15"/>
      <c r="M244" s="15"/>
      <c r="O244" s="15"/>
      <c r="P244" s="9"/>
      <c r="Q244" s="1"/>
      <c r="R244" s="10"/>
      <c r="S244" s="10"/>
    </row>
    <row r="245" spans="1:19">
      <c r="A245" s="10"/>
      <c r="C245" s="15"/>
      <c r="D245" s="10"/>
      <c r="F245" s="10"/>
      <c r="G245" s="15"/>
      <c r="H245" s="15"/>
      <c r="I245" s="15"/>
      <c r="J245" s="10"/>
      <c r="K245" s="15"/>
      <c r="L245" s="15"/>
      <c r="M245" s="15"/>
      <c r="O245" s="15"/>
      <c r="P245" s="9"/>
      <c r="Q245" s="1"/>
      <c r="R245" s="10"/>
      <c r="S245" s="10"/>
    </row>
    <row r="246" spans="1:19">
      <c r="A246" s="10"/>
      <c r="C246" s="15"/>
      <c r="D246" s="10"/>
      <c r="F246" s="10"/>
      <c r="G246" s="15"/>
      <c r="H246" s="15"/>
      <c r="I246" s="15"/>
      <c r="J246" s="10"/>
      <c r="K246" s="15"/>
      <c r="L246" s="15"/>
      <c r="M246" s="15"/>
      <c r="O246" s="15"/>
      <c r="P246" s="9"/>
      <c r="Q246" s="1"/>
      <c r="R246" s="10"/>
      <c r="S246" s="10"/>
    </row>
    <row r="247" spans="1:19">
      <c r="A247" s="10"/>
      <c r="C247" s="15"/>
      <c r="D247" s="10"/>
      <c r="F247" s="10"/>
      <c r="G247" s="15"/>
      <c r="H247" s="15"/>
      <c r="I247" s="15"/>
      <c r="J247" s="10"/>
      <c r="K247" s="15"/>
      <c r="L247" s="15"/>
      <c r="M247" s="15"/>
      <c r="O247" s="15"/>
      <c r="P247" s="9"/>
      <c r="Q247" s="1"/>
      <c r="R247" s="10"/>
      <c r="S247" s="10"/>
    </row>
    <row r="248" spans="1:19">
      <c r="A248" s="10"/>
      <c r="C248" s="15"/>
      <c r="D248" s="10"/>
      <c r="F248" s="10"/>
      <c r="G248" s="15"/>
      <c r="H248" s="15"/>
      <c r="I248" s="15"/>
      <c r="J248" s="10"/>
      <c r="K248" s="15"/>
      <c r="L248" s="15"/>
      <c r="M248" s="15"/>
      <c r="O248" s="15"/>
      <c r="P248" s="9"/>
      <c r="Q248" s="1"/>
      <c r="R248" s="10"/>
      <c r="S248" s="10"/>
    </row>
    <row r="249" spans="1:19">
      <c r="A249" s="10"/>
      <c r="C249" s="15"/>
      <c r="D249" s="10"/>
      <c r="F249" s="10"/>
      <c r="G249" s="15"/>
      <c r="H249" s="15"/>
      <c r="I249" s="15"/>
      <c r="J249" s="10"/>
      <c r="K249" s="15"/>
      <c r="L249" s="15"/>
      <c r="M249" s="15"/>
      <c r="O249" s="15"/>
      <c r="P249" s="9"/>
      <c r="Q249" s="1"/>
      <c r="R249" s="10"/>
      <c r="S249" s="10"/>
    </row>
    <row r="250" spans="1:19">
      <c r="A250" s="10"/>
      <c r="C250" s="15"/>
      <c r="D250" s="10"/>
      <c r="F250" s="10"/>
      <c r="G250" s="15"/>
      <c r="H250" s="15"/>
      <c r="I250" s="15"/>
      <c r="J250" s="10"/>
      <c r="K250" s="15"/>
      <c r="L250" s="15"/>
      <c r="M250" s="15"/>
      <c r="O250" s="15"/>
      <c r="P250" s="9"/>
      <c r="Q250" s="1"/>
      <c r="R250" s="10"/>
      <c r="S250" s="10"/>
    </row>
    <row r="251" spans="1:19">
      <c r="A251" s="10"/>
      <c r="C251" s="15"/>
      <c r="D251" s="10"/>
      <c r="F251" s="10"/>
      <c r="G251" s="15"/>
      <c r="H251" s="15"/>
      <c r="I251" s="15"/>
      <c r="J251" s="10"/>
      <c r="K251" s="15"/>
      <c r="L251" s="15"/>
      <c r="M251" s="15"/>
      <c r="O251" s="15"/>
      <c r="P251" s="9"/>
      <c r="Q251" s="1"/>
      <c r="R251" s="10"/>
      <c r="S251" s="10"/>
    </row>
    <row r="252" spans="1:19">
      <c r="A252" s="10"/>
      <c r="C252" s="15"/>
      <c r="D252" s="10"/>
      <c r="F252" s="10"/>
      <c r="G252" s="15"/>
      <c r="H252" s="15"/>
      <c r="I252" s="15"/>
      <c r="J252" s="10"/>
      <c r="K252" s="15"/>
      <c r="L252" s="15"/>
      <c r="M252" s="15"/>
      <c r="O252" s="15"/>
      <c r="P252" s="9"/>
      <c r="Q252" s="1"/>
      <c r="R252" s="10"/>
      <c r="S252" s="10"/>
    </row>
    <row r="253" spans="1:19">
      <c r="A253" s="10"/>
      <c r="C253" s="15"/>
      <c r="D253" s="10"/>
      <c r="F253" s="10"/>
      <c r="G253" s="15"/>
      <c r="H253" s="15"/>
      <c r="I253" s="15"/>
      <c r="J253" s="10"/>
      <c r="K253" s="15"/>
      <c r="L253" s="15"/>
      <c r="M253" s="15"/>
      <c r="O253" s="15"/>
      <c r="P253" s="9"/>
      <c r="Q253" s="1"/>
      <c r="R253" s="10"/>
      <c r="S253" s="10"/>
    </row>
    <row r="254" spans="1:19">
      <c r="A254" s="10"/>
      <c r="C254" s="15"/>
      <c r="D254" s="10"/>
      <c r="F254" s="10"/>
      <c r="G254" s="15"/>
      <c r="H254" s="15"/>
      <c r="I254" s="15"/>
      <c r="J254" s="10"/>
      <c r="K254" s="15"/>
      <c r="L254" s="15"/>
      <c r="M254" s="15"/>
      <c r="O254" s="15"/>
      <c r="P254" s="9"/>
      <c r="Q254" s="1"/>
      <c r="R254" s="10"/>
      <c r="S254" s="10"/>
    </row>
    <row r="255" spans="1:19">
      <c r="A255" s="10"/>
      <c r="C255" s="15"/>
      <c r="D255" s="10"/>
      <c r="F255" s="10"/>
      <c r="G255" s="15"/>
      <c r="H255" s="15"/>
      <c r="I255" s="15"/>
      <c r="J255" s="10"/>
      <c r="K255" s="15"/>
      <c r="L255" s="15"/>
      <c r="M255" s="15"/>
      <c r="O255" s="15"/>
      <c r="P255" s="9"/>
      <c r="Q255" s="1"/>
      <c r="R255" s="10"/>
      <c r="S255" s="10"/>
    </row>
    <row r="256" spans="1:19">
      <c r="A256" s="10"/>
      <c r="C256" s="15"/>
      <c r="D256" s="10"/>
      <c r="F256" s="10"/>
      <c r="G256" s="15"/>
      <c r="H256" s="15"/>
      <c r="I256" s="15"/>
      <c r="J256" s="10"/>
      <c r="K256" s="15"/>
      <c r="L256" s="15"/>
      <c r="M256" s="15"/>
      <c r="O256" s="15"/>
      <c r="P256" s="9"/>
      <c r="Q256" s="1"/>
      <c r="R256" s="10"/>
      <c r="S256" s="10"/>
    </row>
    <row r="257" spans="1:19">
      <c r="A257" s="10"/>
      <c r="C257" s="15"/>
      <c r="D257" s="10"/>
      <c r="F257" s="10"/>
      <c r="G257" s="15"/>
      <c r="H257" s="15"/>
      <c r="I257" s="15"/>
      <c r="J257" s="10"/>
      <c r="K257" s="15"/>
      <c r="L257" s="15"/>
      <c r="M257" s="15"/>
      <c r="O257" s="15"/>
      <c r="P257" s="9"/>
      <c r="Q257" s="1"/>
      <c r="R257" s="10"/>
      <c r="S257" s="10"/>
    </row>
    <row r="258" spans="1:19">
      <c r="A258" s="10"/>
      <c r="C258" s="15"/>
      <c r="D258" s="10"/>
      <c r="F258" s="10"/>
      <c r="G258" s="15"/>
      <c r="H258" s="15"/>
      <c r="I258" s="15"/>
      <c r="J258" s="10"/>
      <c r="K258" s="15"/>
      <c r="L258" s="15"/>
      <c r="M258" s="15"/>
      <c r="O258" s="15"/>
      <c r="P258" s="9"/>
      <c r="Q258" s="1"/>
      <c r="R258" s="10"/>
      <c r="S258" s="10"/>
    </row>
    <row r="259" spans="1:19">
      <c r="A259" s="10"/>
      <c r="C259" s="15"/>
      <c r="D259" s="10"/>
      <c r="F259" s="10"/>
      <c r="G259" s="15"/>
      <c r="H259" s="15"/>
      <c r="I259" s="15"/>
      <c r="J259" s="10"/>
      <c r="K259" s="15"/>
      <c r="L259" s="15"/>
      <c r="M259" s="15"/>
      <c r="O259" s="15"/>
      <c r="P259" s="9"/>
      <c r="Q259" s="1"/>
      <c r="R259" s="10"/>
      <c r="S259" s="10"/>
    </row>
    <row r="260" spans="1:19">
      <c r="A260" s="10"/>
      <c r="C260" s="15"/>
      <c r="D260" s="10"/>
      <c r="F260" s="10"/>
      <c r="G260" s="15"/>
      <c r="H260" s="15"/>
      <c r="I260" s="15"/>
      <c r="J260" s="10"/>
      <c r="K260" s="15"/>
      <c r="L260" s="15"/>
      <c r="M260" s="15"/>
      <c r="O260" s="15"/>
      <c r="P260" s="9"/>
      <c r="Q260" s="1"/>
      <c r="R260" s="10"/>
      <c r="S260" s="10"/>
    </row>
    <row r="261" spans="1:19">
      <c r="A261" s="10"/>
      <c r="C261" s="15"/>
      <c r="D261" s="10"/>
      <c r="F261" s="10"/>
      <c r="G261" s="15"/>
      <c r="H261" s="15"/>
      <c r="I261" s="15"/>
      <c r="J261" s="10"/>
      <c r="K261" s="15"/>
      <c r="L261" s="15"/>
      <c r="M261" s="15"/>
      <c r="O261" s="15"/>
      <c r="P261" s="9"/>
      <c r="Q261" s="1"/>
      <c r="R261" s="10"/>
      <c r="S261" s="10"/>
    </row>
    <row r="262" spans="1:19">
      <c r="A262" s="10"/>
      <c r="C262" s="15"/>
      <c r="D262" s="10"/>
      <c r="F262" s="10"/>
      <c r="G262" s="15"/>
      <c r="H262" s="15"/>
      <c r="I262" s="15"/>
      <c r="J262" s="10"/>
      <c r="K262" s="15"/>
      <c r="L262" s="15"/>
      <c r="M262" s="15"/>
      <c r="O262" s="15"/>
      <c r="P262" s="9"/>
      <c r="Q262" s="1"/>
      <c r="R262" s="10"/>
      <c r="S262" s="10"/>
    </row>
    <row r="263" spans="1:19">
      <c r="A263" s="10"/>
      <c r="C263" s="15"/>
      <c r="D263" s="10"/>
      <c r="F263" s="10"/>
      <c r="G263" s="15"/>
      <c r="H263" s="15"/>
      <c r="I263" s="15"/>
      <c r="J263" s="10"/>
      <c r="K263" s="15"/>
      <c r="L263" s="15"/>
      <c r="M263" s="15"/>
      <c r="O263" s="15"/>
      <c r="P263" s="9"/>
      <c r="Q263" s="1"/>
      <c r="R263" s="10"/>
      <c r="S263" s="10"/>
    </row>
    <row r="264" spans="1:19">
      <c r="A264" s="10"/>
      <c r="C264" s="15"/>
      <c r="D264" s="10"/>
      <c r="F264" s="10"/>
      <c r="G264" s="15"/>
      <c r="H264" s="15"/>
      <c r="I264" s="15"/>
      <c r="J264" s="10"/>
      <c r="K264" s="15"/>
      <c r="L264" s="15"/>
      <c r="M264" s="15"/>
      <c r="O264" s="15"/>
      <c r="P264" s="9"/>
      <c r="Q264" s="1"/>
      <c r="R264" s="10"/>
      <c r="S264" s="10"/>
    </row>
    <row r="265" spans="1:19">
      <c r="A265" s="10"/>
      <c r="C265" s="15"/>
      <c r="D265" s="10"/>
      <c r="F265" s="10"/>
      <c r="G265" s="15"/>
      <c r="H265" s="15"/>
      <c r="I265" s="15"/>
      <c r="J265" s="10"/>
      <c r="K265" s="15"/>
      <c r="L265" s="15"/>
      <c r="M265" s="15"/>
      <c r="O265" s="15"/>
      <c r="P265" s="9"/>
      <c r="Q265" s="1"/>
      <c r="R265" s="10"/>
      <c r="S265" s="10"/>
    </row>
  </sheetData>
  <hyperlinks>
    <hyperlink ref="S2" r:id="rId1" tooltip="Link to landing page via DOI" xr:uid="{3F28F654-5435-864C-B50F-41B3A1A91219}"/>
    <hyperlink ref="S3" r:id="rId2" tooltip="DOI URL" xr:uid="{F0DA3C66-BC5B-6442-881C-5F51E6F2F5AC}"/>
    <hyperlink ref="S4" r:id="rId3" xr:uid="{AB3EDBD4-D207-C14B-809C-367DD00AA850}"/>
    <hyperlink ref="S5" r:id="rId4" xr:uid="{D74D085C-B8D1-664D-8FEF-D7AF30139E31}"/>
    <hyperlink ref="S6" r:id="rId5" xr:uid="{1522AB10-A6E1-D84C-8359-2B929DE287C4}"/>
    <hyperlink ref="S9" r:id="rId6" xr:uid="{83CD385E-739D-CC40-91C9-F449F593B367}"/>
    <hyperlink ref="S10" r:id="rId7" xr:uid="{C03321D0-1941-D547-A109-0441A5BEF72A}"/>
    <hyperlink ref="S12" r:id="rId8" tooltip="DOI URL" xr:uid="{3CD6DB6D-9FB4-994C-8074-38F95E9A734E}"/>
    <hyperlink ref="S13" r:id="rId9" tooltip="Persistent link using digital object identifier" xr:uid="{11E3643D-4150-5E4C-9EA4-6C152688B265}"/>
    <hyperlink ref="S15" r:id="rId10" xr:uid="{4CF138E2-67F8-4846-8861-EA235090CB96}"/>
    <hyperlink ref="S16" r:id="rId11" tooltip="DOI URL" xr:uid="{4452D20B-FA85-4849-80EC-F33F4E0FCF7F}"/>
    <hyperlink ref="S18" r:id="rId12" tooltip="Link to landing page via DOI" xr:uid="{27D3E0C2-5EDC-D749-94FB-85EF382E1B7C}"/>
    <hyperlink ref="S19" r:id="rId13" tooltip="Link to landing page via DOI" xr:uid="{BA2C92BB-B7A9-D044-9902-54FF19C9B558}"/>
    <hyperlink ref="S20" r:id="rId14" tooltip="DOI URL" xr:uid="{87102D67-3E9E-1545-816A-446D9BE1805B}"/>
    <hyperlink ref="S22" r:id="rId15" tooltip="DOI URL" xr:uid="{8FBA0E66-1561-6B44-93C1-9CF3986ACAB4}"/>
    <hyperlink ref="S24" r:id="rId16" tooltip="DOI URL" xr:uid="{403FCB8E-F9D4-2241-A96A-98C9E658EFE3}"/>
    <hyperlink ref="S76" r:id="rId17" xr:uid="{3217FA46-6B47-A645-8DC9-3DB97A6470D0}"/>
    <hyperlink ref="S66" r:id="rId18" xr:uid="{C46AD131-6C17-504E-8E01-C4A875B689A7}"/>
    <hyperlink ref="S88" r:id="rId19" xr:uid="{992112CE-9525-1447-9802-42626F5D29EC}"/>
    <hyperlink ref="S91" r:id="rId20" xr:uid="{DE6E457C-ED28-EE47-9E34-C3DDBB120B40}"/>
    <hyperlink ref="S94" r:id="rId21" xr:uid="{5934F45E-45E6-F74F-8FED-EAFA43BE73CA}"/>
    <hyperlink ref="S124" r:id="rId22" xr:uid="{8812F1AB-5C0F-D749-83DF-6F31970DFA22}"/>
    <hyperlink ref="S129" r:id="rId23" xr:uid="{E3F52AEE-FCAB-A149-A952-F3D4D3A92609}"/>
    <hyperlink ref="S130:S133" r:id="rId24" display="https://pubs.acs.org/doi/10.1021/acs.orglett.0c01676." xr:uid="{0807EE05-8237-7C47-9E2E-4F7B7657E43F}"/>
    <hyperlink ref="S134" r:id="rId25" xr:uid="{BC401972-E051-164B-A945-FAE516DF8D31}"/>
    <hyperlink ref="S135:S138" r:id="rId26" display="https://doi.org/10.1039/D3QO01705B" xr:uid="{88062FA9-D9F8-2045-97E3-FFF31B670855}"/>
    <hyperlink ref="S143" r:id="rId27" xr:uid="{F8DD7378-3FCB-BC4C-8CA9-F63355354262}"/>
    <hyperlink ref="S144" r:id="rId28" xr:uid="{E4016B5C-1D0C-4940-9BAA-D4E531CF0749}"/>
    <hyperlink ref="S145" r:id="rId29" xr:uid="{2F421342-3253-9A46-BE82-0952DCCA9B6F}"/>
    <hyperlink ref="S146" r:id="rId30" xr:uid="{9E533C4E-1F34-0F48-8998-55FAEA438486}"/>
    <hyperlink ref="S147" r:id="rId31" xr:uid="{77C0FDAE-9BAC-204A-BF5E-104A6CDF2D23}"/>
    <hyperlink ref="S148" r:id="rId32" xr:uid="{9CEEB7EB-4EAA-3D40-8ED7-B004EBB263AD}"/>
    <hyperlink ref="S140" r:id="rId33" xr:uid="{92B1797E-3D19-4C4C-ADA6-5D5FED61B1BE}"/>
    <hyperlink ref="S139" r:id="rId34" xr:uid="{61832AE7-DB4D-2348-AE57-B0E4651706D6}"/>
    <hyperlink ref="S141" r:id="rId35" xr:uid="{1ECC8467-EE64-BA41-A621-6196085B5D8F}"/>
    <hyperlink ref="S142" r:id="rId36" xr:uid="{69AF934F-2511-DE4F-96B1-173992C32E52}"/>
    <hyperlink ref="S149" r:id="rId37" xr:uid="{CE44AA21-BE36-2E47-8B0B-3D5257C11A56}"/>
    <hyperlink ref="S150" r:id="rId38" xr:uid="{11FCB189-EB7C-724B-973A-B23EF64A07C0}"/>
    <hyperlink ref="S151" r:id="rId39" xr:uid="{E09A6739-9AAF-0349-A96F-DD56F0BE9BD3}"/>
    <hyperlink ref="S152" r:id="rId40" xr:uid="{98C6C60F-A938-534F-9312-AACE8FF09D9B}"/>
    <hyperlink ref="S153" r:id="rId41" xr:uid="{3B46878E-EC44-EE42-9B51-CDD20D2F9E3D}"/>
    <hyperlink ref="S125" r:id="rId42" xr:uid="{4B86CBB0-ECF9-6D4E-98FE-643960628CD4}"/>
    <hyperlink ref="S126" r:id="rId43" xr:uid="{2C7A1CFF-9A7C-A741-9C70-B957E2E7E858}"/>
    <hyperlink ref="S127" r:id="rId44" xr:uid="{E37BCBEC-9781-464A-AFC5-8E8EB7AFC3C5}"/>
    <hyperlink ref="S128" r:id="rId45" xr:uid="{52FE49EF-0768-3741-9B31-AE91CE48F690}"/>
    <hyperlink ref="S175" r:id="rId46" display="https://doi.org/10.1016/j.tet.2008.09.094" xr:uid="{805CAB42-3BC0-614B-835B-59861FE57471}"/>
    <hyperlink ref="S178" r:id="rId47" xr:uid="{25C35661-4810-064F-BAD3-C6CA7AE68B58}"/>
    <hyperlink ref="S179" r:id="rId48" xr:uid="{CEB1EE09-1BE9-2C4B-AF1C-4932FD93DA37}"/>
    <hyperlink ref="S180" r:id="rId49" xr:uid="{FCF3873E-51A1-8B4B-B192-75A6249C2702}"/>
    <hyperlink ref="S182" r:id="rId50" xr:uid="{1F1338CA-BADF-EF49-9C20-96FFDDD11382}"/>
    <hyperlink ref="S183" r:id="rId51" display="https://doi.org/10.1016/j.tet.2008.09.094" xr:uid="{0DCB47FE-35F3-8140-89C9-1DEACDC423FA}"/>
    <hyperlink ref="S184" r:id="rId52" display="https://doi.org/10.1111/cbdd.13039" xr:uid="{D4716F8A-657A-0F46-A13E-CA12720FE0CA}"/>
    <hyperlink ref="S185" r:id="rId53" xr:uid="{C8E373FD-5F59-B446-A27D-A0F855A51DB1}"/>
    <hyperlink ref="S188" r:id="rId54" tooltip="DOI URL" xr:uid="{C38BC848-14CC-E74A-AEBC-2BE3E3FD22F7}"/>
    <hyperlink ref="S189" r:id="rId55" xr:uid="{935AE042-D7F0-EE44-92B6-1EFC347071EC}"/>
    <hyperlink ref="S190" r:id="rId56" display="https://doi.org/10.1016/j.ejmech.2023.116101" xr:uid="{F6B607F2-1B8F-7548-ADB5-D204C3551CFA}"/>
    <hyperlink ref="S192" r:id="rId57" display="https://doi.org/10.1021/jm200256g" xr:uid="{005B577F-EE82-DE4C-B8F0-D9AD617B310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C1E36CE2333A4DBCA9CD5063464EF8" ma:contentTypeVersion="13" ma:contentTypeDescription="Create a new document." ma:contentTypeScope="" ma:versionID="d9620bf27d4ff32933b9f2337e2be106">
  <xsd:schema xmlns:xsd="http://www.w3.org/2001/XMLSchema" xmlns:xs="http://www.w3.org/2001/XMLSchema" xmlns:p="http://schemas.microsoft.com/office/2006/metadata/properties" xmlns:ns2="f006263b-6855-4f81-be49-4241caee7f23" xmlns:ns3="dabe3c20-206e-48c2-bf8d-a29783c980eb" targetNamespace="http://schemas.microsoft.com/office/2006/metadata/properties" ma:root="true" ma:fieldsID="d08129629143736746fb52b30a130668" ns2:_="" ns3:_="">
    <xsd:import namespace="f006263b-6855-4f81-be49-4241caee7f23"/>
    <xsd:import namespace="dabe3c20-206e-48c2-bf8d-a29783c980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263b-6855-4f81-be49-4241caee7f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e3c20-206e-48c2-bf8d-a29783c980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4908a68-842f-463e-ab9d-311747c6d24c}" ma:internalName="TaxCatchAll" ma:showField="CatchAllData" ma:web="dabe3c20-206e-48c2-bf8d-a29783c980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6263b-6855-4f81-be49-4241caee7f23">
      <Terms xmlns="http://schemas.microsoft.com/office/infopath/2007/PartnerControls"/>
    </lcf76f155ced4ddcb4097134ff3c332f>
    <TaxCatchAll xmlns="dabe3c20-206e-48c2-bf8d-a29783c980eb" xsi:nil="true"/>
  </documentManagement>
</p:properties>
</file>

<file path=customXml/itemProps1.xml><?xml version="1.0" encoding="utf-8"?>
<ds:datastoreItem xmlns:ds="http://schemas.openxmlformats.org/officeDocument/2006/customXml" ds:itemID="{65EBFEDB-1F62-4F1C-B496-B4021A8B8A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92CAC3-9F74-4995-820F-13C750327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263b-6855-4f81-be49-4241caee7f23"/>
    <ds:schemaRef ds:uri="dabe3c20-206e-48c2-bf8d-a29783c98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683F71-BAD6-45A7-9C46-62C2D2F63BFF}">
  <ds:schemaRefs>
    <ds:schemaRef ds:uri="http://www.w3.org/XML/1998/namespace"/>
    <ds:schemaRef ds:uri="http://schemas.microsoft.com/office/infopath/2007/PartnerControls"/>
    <ds:schemaRef ds:uri="dabe3c20-206e-48c2-bf8d-a29783c980eb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f006263b-6855-4f81-be49-4241caee7f23"/>
    <ds:schemaRef ds:uri="http://schemas.microsoft.com/office/2006/documentManagement/typ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Original_172_plus_18LY</vt:lpstr>
      <vt:lpstr>Original_196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Roy, Upasana (MU-Student)</cp:lastModifiedBy>
  <cp:revision/>
  <dcterms:created xsi:type="dcterms:W3CDTF">2024-07-29T19:29:53Z</dcterms:created>
  <dcterms:modified xsi:type="dcterms:W3CDTF">2025-07-04T07:10:33Z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0x010100DBC1E36CE2333A4DBCA9CD5063464EF8</vt:lpwstr>
  </property>
  <property fmtid="{D5CDD505-2E9C-101B-9397-08002B2CF9AE}" pid="3" name="MediaServiceImageTags">
    <vt:lpwstr/>
  </property>
</Properties>
</file>